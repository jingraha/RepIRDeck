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2"/>
  <workbookPr/>
  <mc:AlternateContent xmlns:mc="http://schemas.openxmlformats.org/markup-compatibility/2006">
    <mc:Choice Requires="x15">
      <x15ac:absPath xmlns:x15ac="http://schemas.microsoft.com/office/spreadsheetml/2010/11/ac" url="C:\Users\joeingraham\copilot-worktrees\RepIRDeck\joeingraham-jubilant-guacamole\output\"/>
    </mc:Choice>
  </mc:AlternateContent>
  <xr:revisionPtr revIDLastSave="0" documentId="13_ncr:1_{5C5B7618-B75D-4F80-A960-6C0E0E80C93F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Assumptions" sheetId="1" r:id="rId1"/>
    <sheet name="Visuals" sheetId="2" r:id="rId2"/>
    <sheet name="P&amp;L" sheetId="3" r:id="rId3"/>
    <sheet name="Cash Flow" sheetId="4" r:id="rId4"/>
    <sheet name="Balance Sheet" sheetId="5" r:id="rId5"/>
    <sheet name="Read Me" sheetId="6" r:id="rId6"/>
    <sheet name="Source Register" sheetId="7" r:id="rId7"/>
    <sheet name="Public Facts" sheetId="8" r:id="rId8"/>
    <sheet name="Historical KPIs" sheetId="9" r:id="rId9"/>
    <sheet name="Revenue Build" sheetId="10" r:id="rId10"/>
    <sheet name="Cohorts &amp; Retention" sheetId="11" r:id="rId11"/>
    <sheet name="Unit Economics" sheetId="12" r:id="rId12"/>
    <sheet name="GTM &amp; Pipeline" sheetId="13" r:id="rId13"/>
    <sheet name="Market Model" sheetId="14" r:id="rId14"/>
    <sheet name="Scenarios" sheetId="15" r:id="rId15"/>
    <sheet name="Use of Proceeds" sheetId="16" r:id="rId16"/>
    <sheet name="Valuation" sheetId="17" r:id="rId17"/>
    <sheet name="Slide Reconciliation" sheetId="18" r:id="rId18"/>
    <sheet name="QA Checks" sheetId="19" r:id="rId19"/>
  </sheets>
  <definedNames>
    <definedName name="_xlnm._FilterDatabase" localSheetId="0" hidden="1">Assumptions!$A$4:$D$412</definedName>
    <definedName name="_xlnm._FilterDatabase" localSheetId="4" hidden="1">'Balance Sheet'!$A$4:$H$19</definedName>
    <definedName name="_xlnm._FilterDatabase" localSheetId="3" hidden="1">'Cash Flow'!$A$31:$Q$94</definedName>
    <definedName name="_xlnm._FilterDatabase" localSheetId="10" hidden="1">'Cohorts &amp; Retention'!$A$4:$F$8</definedName>
    <definedName name="_xlnm._FilterDatabase" localSheetId="12" hidden="1">'GTM &amp; Pipeline'!$A$4:$D$15</definedName>
    <definedName name="_xlnm._FilterDatabase" localSheetId="8" hidden="1">'Historical KPIs'!$A$4:$G$14</definedName>
    <definedName name="_xlnm._FilterDatabase" localSheetId="13" hidden="1">'Market Model'!$A$4:$F$9</definedName>
    <definedName name="_xlnm._FilterDatabase" localSheetId="2" hidden="1">'P&amp;L'!$A$4:$H$16</definedName>
    <definedName name="_xlnm._FilterDatabase" localSheetId="7" hidden="1">'Public Facts'!$A$4:$I$61</definedName>
    <definedName name="_xlnm._FilterDatabase" localSheetId="18" hidden="1">'QA Checks'!$A$4:$D$15</definedName>
    <definedName name="_xlnm._FilterDatabase" localSheetId="5" hidden="1">'Read Me'!$A$15:$C$23</definedName>
    <definedName name="_xlnm._FilterDatabase" localSheetId="9" hidden="1">'Revenue Build'!$A$4:$J$9</definedName>
    <definedName name="_xlnm._FilterDatabase" localSheetId="14" hidden="1">Scenarios!$A$4:$H$16</definedName>
    <definedName name="_xlnm._FilterDatabase" localSheetId="17" hidden="1">'Slide Reconciliation'!$A$4:$I$59</definedName>
    <definedName name="_xlnm._FilterDatabase" localSheetId="6" hidden="1">'Source Register'!$A$4:$H$41</definedName>
    <definedName name="_xlnm._FilterDatabase" localSheetId="11" hidden="1">'Unit Economics'!$A$4:$G$11</definedName>
    <definedName name="_xlnm._FilterDatabase" localSheetId="15" hidden="1">'Use of Proceeds'!$A$4:$E$11</definedName>
    <definedName name="_xlnm._FilterDatabase" localSheetId="16" hidden="1">Valuation!$A$20:$E$28</definedName>
    <definedName name="_xlnm._FilterDatabase" localSheetId="1" hidden="1">Visuals!$A$52:$E$100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5" l="1"/>
  <c r="G16" i="5"/>
  <c r="F16" i="5"/>
  <c r="E16" i="5"/>
  <c r="D16" i="5"/>
  <c r="C16" i="5"/>
  <c r="B16" i="5"/>
  <c r="H6" i="4"/>
  <c r="G6" i="4"/>
  <c r="F6" i="4"/>
  <c r="E6" i="4"/>
  <c r="D6" i="4"/>
  <c r="C6" i="4"/>
  <c r="B6" i="4"/>
  <c r="H5" i="4"/>
  <c r="H8" i="4" s="1"/>
  <c r="H10" i="4" s="1"/>
  <c r="H14" i="4" s="1"/>
  <c r="G5" i="4"/>
  <c r="G8" i="4" s="1"/>
  <c r="G10" i="4" s="1"/>
  <c r="G14" i="4" s="1"/>
  <c r="F5" i="4"/>
  <c r="F8" i="4" s="1"/>
  <c r="F10" i="4" s="1"/>
  <c r="F14" i="4" s="1"/>
  <c r="E5" i="4"/>
  <c r="E8" i="4" s="1"/>
  <c r="E10" i="4" s="1"/>
  <c r="E14" i="4" s="1"/>
  <c r="D5" i="4"/>
  <c r="D8" i="4" s="1"/>
  <c r="D10" i="4" s="1"/>
  <c r="D14" i="4" s="1"/>
  <c r="C5" i="4"/>
  <c r="C8" i="4" s="1"/>
  <c r="C10" i="4" s="1"/>
  <c r="C14" i="4" s="1"/>
  <c r="B5" i="4"/>
  <c r="B8" i="4" s="1"/>
  <c r="B10" i="4" s="1"/>
  <c r="B14" i="4" s="1"/>
  <c r="B16" i="4" s="1"/>
  <c r="B5" i="5" l="1"/>
  <c r="B10" i="5" s="1"/>
  <c r="C15" i="4"/>
  <c r="C16" i="4" s="1"/>
  <c r="B17" i="5" l="1"/>
  <c r="B18" i="5" s="1"/>
  <c r="B19" i="5" s="1"/>
  <c r="C5" i="5"/>
  <c r="C10" i="5" s="1"/>
  <c r="D15" i="4"/>
  <c r="D16" i="4" s="1"/>
  <c r="C17" i="5" l="1"/>
  <c r="C18" i="5" s="1"/>
  <c r="C19" i="5"/>
  <c r="D5" i="5"/>
  <c r="D10" i="5" s="1"/>
  <c r="E15" i="4"/>
  <c r="E16" i="4" s="1"/>
  <c r="D17" i="5" l="1"/>
  <c r="D18" i="5" s="1"/>
  <c r="D19" i="5" s="1"/>
  <c r="F15" i="4"/>
  <c r="F16" i="4" s="1"/>
  <c r="E5" i="5"/>
  <c r="E10" i="5" s="1"/>
  <c r="G15" i="4" l="1"/>
  <c r="G16" i="4" s="1"/>
  <c r="F5" i="5"/>
  <c r="F10" i="5" s="1"/>
  <c r="E17" i="5"/>
  <c r="E18" i="5" s="1"/>
  <c r="E19" i="5" s="1"/>
  <c r="G5" i="5" l="1"/>
  <c r="G10" i="5" s="1"/>
  <c r="H15" i="4"/>
  <c r="H16" i="4" s="1"/>
  <c r="H5" i="5" s="1"/>
  <c r="H10" i="5" s="1"/>
  <c r="F17" i="5"/>
  <c r="F18" i="5" s="1"/>
  <c r="F19" i="5"/>
  <c r="G17" i="5" l="1"/>
  <c r="G18" i="5" s="1"/>
  <c r="G19" i="5" s="1"/>
  <c r="H17" i="5"/>
  <c r="H18" i="5" s="1"/>
  <c r="H19" i="5" s="1"/>
</calcChain>
</file>

<file path=xl/sharedStrings.xml><?xml version="1.0" encoding="utf-8"?>
<sst xmlns="http://schemas.openxmlformats.org/spreadsheetml/2006/main" count="2924" uniqueCount="1090">
  <si>
    <t>Assumptions</t>
  </si>
  <si>
    <t>Editable structured inputs. Orange rows are analyst assumptions. Public anchors are documented separately.</t>
  </si>
  <si>
    <t>Assumption key</t>
  </si>
  <si>
    <t>Value</t>
  </si>
  <si>
    <t>Type</t>
  </si>
  <si>
    <t>Evidence note</t>
  </si>
  <si>
    <t>meta.company</t>
  </si>
  <si>
    <t>Replit</t>
  </si>
  <si>
    <t>Text</t>
  </si>
  <si>
    <t>Est. unless identified in Source Register</t>
  </si>
  <si>
    <t>meta.as_of_date</t>
  </si>
  <si>
    <t>2026-09-03</t>
  </si>
  <si>
    <t>meta.forecast_date</t>
  </si>
  <si>
    <t>2026-12-01</t>
  </si>
  <si>
    <t>meta.currency</t>
  </si>
  <si>
    <t>USD</t>
  </si>
  <si>
    <t>meta.units</t>
  </si>
  <si>
    <t>USD millions unless noted</t>
  </si>
  <si>
    <t>meta.model_version</t>
  </si>
  <si>
    <t>1.0</t>
  </si>
  <si>
    <t>transaction.round</t>
  </si>
  <si>
    <t>Series E</t>
  </si>
  <si>
    <t>transaction.total_raise</t>
  </si>
  <si>
    <t>Numeric</t>
  </si>
  <si>
    <t>transaction.primary</t>
  </si>
  <si>
    <t>transaction.secondary</t>
  </si>
  <si>
    <t>transaction.pre_money</t>
  </si>
  <si>
    <t>transaction.prior_round_amount</t>
  </si>
  <si>
    <t>transaction.prior_round_valuation</t>
  </si>
  <si>
    <t>transaction.prior_round_date</t>
  </si>
  <si>
    <t>2026-03-11</t>
  </si>
  <si>
    <t>years[0]</t>
  </si>
  <si>
    <t>years[1]</t>
  </si>
  <si>
    <t>years[2]</t>
  </si>
  <si>
    <t>years[3]</t>
  </si>
  <si>
    <t>years[4]</t>
  </si>
  <si>
    <t>years[5]</t>
  </si>
  <si>
    <t>years[6]</t>
  </si>
  <si>
    <t>years[7]</t>
  </si>
  <si>
    <t>years[8]</t>
  </si>
  <si>
    <t>financials.revenue_by_segment.individual[0]</t>
  </si>
  <si>
    <t>financials.revenue_by_segment.individual[1]</t>
  </si>
  <si>
    <t>financials.revenue_by_segment.individual[2]</t>
  </si>
  <si>
    <t>financials.revenue_by_segment.individual[3]</t>
  </si>
  <si>
    <t>financials.revenue_by_segment.individual[4]</t>
  </si>
  <si>
    <t>financials.revenue_by_segment.individual[5]</t>
  </si>
  <si>
    <t>financials.revenue_by_segment.individual[6]</t>
  </si>
  <si>
    <t>financials.revenue_by_segment.individual[7]</t>
  </si>
  <si>
    <t>financials.revenue_by_segment.individual[8]</t>
  </si>
  <si>
    <t>financials.revenue_by_segment.enterprise[0]</t>
  </si>
  <si>
    <t>financials.revenue_by_segment.enterprise[1]</t>
  </si>
  <si>
    <t>financials.revenue_by_segment.enterprise[2]</t>
  </si>
  <si>
    <t>financials.revenue_by_segment.enterprise[3]</t>
  </si>
  <si>
    <t>financials.revenue_by_segment.enterprise[4]</t>
  </si>
  <si>
    <t>financials.revenue_by_segment.enterprise[5]</t>
  </si>
  <si>
    <t>financials.revenue_by_segment.enterprise[6]</t>
  </si>
  <si>
    <t>financials.revenue_by_segment.enterprise[7]</t>
  </si>
  <si>
    <t>financials.revenue_by_segment.enterprise[8]</t>
  </si>
  <si>
    <t>financials.revenue_by_segment.usage_and_deploy[0]</t>
  </si>
  <si>
    <t>financials.revenue_by_segment.usage_and_deploy[1]</t>
  </si>
  <si>
    <t>financials.revenue_by_segment.usage_and_deploy[2]</t>
  </si>
  <si>
    <t>financials.revenue_by_segment.usage_and_deploy[3]</t>
  </si>
  <si>
    <t>financials.revenue_by_segment.usage_and_deploy[4]</t>
  </si>
  <si>
    <t>financials.revenue_by_segment.usage_and_deploy[5]</t>
  </si>
  <si>
    <t>financials.revenue_by_segment.usage_and_deploy[6]</t>
  </si>
  <si>
    <t>financials.revenue_by_segment.usage_and_deploy[7]</t>
  </si>
  <si>
    <t>financials.revenue_by_segment.usage_and_deploy[8]</t>
  </si>
  <si>
    <t>financials.gross_margin[0]</t>
  </si>
  <si>
    <t>financials.gross_margin[1]</t>
  </si>
  <si>
    <t>financials.gross_margin[2]</t>
  </si>
  <si>
    <t>financials.gross_margin[3]</t>
  </si>
  <si>
    <t>financials.gross_margin[4]</t>
  </si>
  <si>
    <t>financials.gross_margin[5]</t>
  </si>
  <si>
    <t>financials.gross_margin[6]</t>
  </si>
  <si>
    <t>financials.gross_margin[7]</t>
  </si>
  <si>
    <t>financials.gross_margin[8]</t>
  </si>
  <si>
    <t>financials.research_and_development[0]</t>
  </si>
  <si>
    <t>financials.research_and_development[1]</t>
  </si>
  <si>
    <t>financials.research_and_development[2]</t>
  </si>
  <si>
    <t>financials.research_and_development[3]</t>
  </si>
  <si>
    <t>financials.research_and_development[4]</t>
  </si>
  <si>
    <t>financials.research_and_development[5]</t>
  </si>
  <si>
    <t>financials.research_and_development[6]</t>
  </si>
  <si>
    <t>financials.research_and_development[7]</t>
  </si>
  <si>
    <t>financials.research_and_development[8]</t>
  </si>
  <si>
    <t>financials.sales_and_marketing[0]</t>
  </si>
  <si>
    <t>financials.sales_and_marketing[1]</t>
  </si>
  <si>
    <t>financials.sales_and_marketing[2]</t>
  </si>
  <si>
    <t>financials.sales_and_marketing[3]</t>
  </si>
  <si>
    <t>financials.sales_and_marketing[4]</t>
  </si>
  <si>
    <t>financials.sales_and_marketing[5]</t>
  </si>
  <si>
    <t>financials.sales_and_marketing[6]</t>
  </si>
  <si>
    <t>financials.sales_and_marketing[7]</t>
  </si>
  <si>
    <t>financials.sales_and_marketing[8]</t>
  </si>
  <si>
    <t>financials.general_and_administrative[0]</t>
  </si>
  <si>
    <t>financials.general_and_administrative[1]</t>
  </si>
  <si>
    <t>financials.general_and_administrative[2]</t>
  </si>
  <si>
    <t>financials.general_and_administrative[3]</t>
  </si>
  <si>
    <t>financials.general_and_administrative[4]</t>
  </si>
  <si>
    <t>financials.general_and_administrative[5]</t>
  </si>
  <si>
    <t>financials.general_and_administrative[6]</t>
  </si>
  <si>
    <t>financials.general_and_administrative[7]</t>
  </si>
  <si>
    <t>financials.general_and_administrative[8]</t>
  </si>
  <si>
    <t>financials.capital_expenditures[0]</t>
  </si>
  <si>
    <t>financials.capital_expenditures[1]</t>
  </si>
  <si>
    <t>financials.capital_expenditures[2]</t>
  </si>
  <si>
    <t>financials.capital_expenditures[3]</t>
  </si>
  <si>
    <t>financials.capital_expenditures[4]</t>
  </si>
  <si>
    <t>financials.capital_expenditures[5]</t>
  </si>
  <si>
    <t>financials.capital_expenditures[6]</t>
  </si>
  <si>
    <t>financials.capital_expenditures[7]</t>
  </si>
  <si>
    <t>financials.capital_expenditures[8]</t>
  </si>
  <si>
    <t>financials.working_capital_change[0]</t>
  </si>
  <si>
    <t>financials.working_capital_change[1]</t>
  </si>
  <si>
    <t>financials.working_capital_change[2]</t>
  </si>
  <si>
    <t>financials.working_capital_change[3]</t>
  </si>
  <si>
    <t>financials.working_capital_change[4]</t>
  </si>
  <si>
    <t>financials.working_capital_change[5]</t>
  </si>
  <si>
    <t>financials.working_capital_change[6]</t>
  </si>
  <si>
    <t>financials.working_capital_change[7]</t>
  </si>
  <si>
    <t>financials.working_capital_change[8]</t>
  </si>
  <si>
    <t>financials.stock_compensation[0]</t>
  </si>
  <si>
    <t>financials.stock_compensation[1]</t>
  </si>
  <si>
    <t>financials.stock_compensation[2]</t>
  </si>
  <si>
    <t>financials.stock_compensation[3]</t>
  </si>
  <si>
    <t>financials.stock_compensation[4]</t>
  </si>
  <si>
    <t>financials.stock_compensation[5]</t>
  </si>
  <si>
    <t>financials.stock_compensation[6]</t>
  </si>
  <si>
    <t>financials.stock_compensation[7]</t>
  </si>
  <si>
    <t>financials.stock_compensation[8]</t>
  </si>
  <si>
    <t>kpis.registered_users_m[0]</t>
  </si>
  <si>
    <t>kpis.registered_users_m[1]</t>
  </si>
  <si>
    <t>kpis.registered_users_m[2]</t>
  </si>
  <si>
    <t>kpis.registered_users_m[3]</t>
  </si>
  <si>
    <t>kpis.registered_users_m[4]</t>
  </si>
  <si>
    <t>kpis.registered_users_m[5]</t>
  </si>
  <si>
    <t>kpis.registered_users_m[6]</t>
  </si>
  <si>
    <t>kpis.registered_users_m[7]</t>
  </si>
  <si>
    <t>kpis.registered_users_m[8]</t>
  </si>
  <si>
    <t>kpis.monthly_active_builders_m[0]</t>
  </si>
  <si>
    <t>kpis.monthly_active_builders_m[1]</t>
  </si>
  <si>
    <t>kpis.monthly_active_builders_m[2]</t>
  </si>
  <si>
    <t>kpis.monthly_active_builders_m[3]</t>
  </si>
  <si>
    <t>kpis.monthly_active_builders_m[4]</t>
  </si>
  <si>
    <t>kpis.monthly_active_builders_m[5]</t>
  </si>
  <si>
    <t>kpis.monthly_active_builders_m[6]</t>
  </si>
  <si>
    <t>kpis.monthly_active_builders_m[7]</t>
  </si>
  <si>
    <t>kpis.monthly_active_builders_m[8]</t>
  </si>
  <si>
    <t>kpis.paid_individuals_m[0]</t>
  </si>
  <si>
    <t>kpis.paid_individuals_m[1]</t>
  </si>
  <si>
    <t>kpis.paid_individuals_m[2]</t>
  </si>
  <si>
    <t>kpis.paid_individuals_m[3]</t>
  </si>
  <si>
    <t>kpis.paid_individuals_m[4]</t>
  </si>
  <si>
    <t>kpis.paid_individuals_m[5]</t>
  </si>
  <si>
    <t>kpis.paid_individuals_m[6]</t>
  </si>
  <si>
    <t>kpis.paid_individuals_m[7]</t>
  </si>
  <si>
    <t>kpis.paid_individuals_m[8]</t>
  </si>
  <si>
    <t>kpis.enterprise_customers[0]</t>
  </si>
  <si>
    <t>kpis.enterprise_customers[1]</t>
  </si>
  <si>
    <t>kpis.enterprise_customers[2]</t>
  </si>
  <si>
    <t>kpis.enterprise_customers[3]</t>
  </si>
  <si>
    <t>kpis.enterprise_customers[4]</t>
  </si>
  <si>
    <t>kpis.enterprise_customers[5]</t>
  </si>
  <si>
    <t>kpis.enterprise_customers[6]</t>
  </si>
  <si>
    <t>kpis.enterprise_customers[7]</t>
  </si>
  <si>
    <t>kpis.enterprise_customers[8]</t>
  </si>
  <si>
    <t>kpis.exit_arr[0]</t>
  </si>
  <si>
    <t>kpis.exit_arr[1]</t>
  </si>
  <si>
    <t>kpis.exit_arr[2]</t>
  </si>
  <si>
    <t>kpis.exit_arr[3]</t>
  </si>
  <si>
    <t>kpis.exit_arr[4]</t>
  </si>
  <si>
    <t>kpis.exit_arr[5]</t>
  </si>
  <si>
    <t>kpis.exit_arr[6]</t>
  </si>
  <si>
    <t>kpis.exit_arr[7]</t>
  </si>
  <si>
    <t>kpis.exit_arr[8]</t>
  </si>
  <si>
    <t>kpis.international_revenue_share[0]</t>
  </si>
  <si>
    <t>kpis.international_revenue_share[1]</t>
  </si>
  <si>
    <t>kpis.international_revenue_share[2]</t>
  </si>
  <si>
    <t>kpis.international_revenue_share[3]</t>
  </si>
  <si>
    <t>kpis.international_revenue_share[4]</t>
  </si>
  <si>
    <t>kpis.international_revenue_share[5]</t>
  </si>
  <si>
    <t>kpis.international_revenue_share[6]</t>
  </si>
  <si>
    <t>kpis.international_revenue_share[7]</t>
  </si>
  <si>
    <t>kpis.international_revenue_share[8]</t>
  </si>
  <si>
    <t>kpis.enterprise_grr[0]</t>
  </si>
  <si>
    <t>kpis.enterprise_grr[1]</t>
  </si>
  <si>
    <t>kpis.enterprise_grr[2]</t>
  </si>
  <si>
    <t>kpis.enterprise_grr[3]</t>
  </si>
  <si>
    <t>kpis.enterprise_grr[4]</t>
  </si>
  <si>
    <t>kpis.enterprise_grr[5]</t>
  </si>
  <si>
    <t>kpis.enterprise_grr[6]</t>
  </si>
  <si>
    <t>kpis.enterprise_grr[7]</t>
  </si>
  <si>
    <t>kpis.enterprise_grr[8]</t>
  </si>
  <si>
    <t>kpis.enterprise_nrr[0]</t>
  </si>
  <si>
    <t>kpis.enterprise_nrr[1]</t>
  </si>
  <si>
    <t>kpis.enterprise_nrr[2]</t>
  </si>
  <si>
    <t>kpis.enterprise_nrr[3]</t>
  </si>
  <si>
    <t>kpis.enterprise_nrr[4]</t>
  </si>
  <si>
    <t>kpis.enterprise_nrr[5]</t>
  </si>
  <si>
    <t>kpis.enterprise_nrr[6]</t>
  </si>
  <si>
    <t>kpis.enterprise_nrr[7]</t>
  </si>
  <si>
    <t>kpis.enterprise_nrr[8]</t>
  </si>
  <si>
    <t>kpis.projects_created_m[0]</t>
  </si>
  <si>
    <t>kpis.projects_created_m[1]</t>
  </si>
  <si>
    <t>kpis.projects_created_m[2]</t>
  </si>
  <si>
    <t>kpis.projects_created_m[3]</t>
  </si>
  <si>
    <t>kpis.projects_created_m[4]</t>
  </si>
  <si>
    <t>kpis.projects_created_m[5]</t>
  </si>
  <si>
    <t>kpis.projects_created_m[6]</t>
  </si>
  <si>
    <t>kpis.projects_created_m[7]</t>
  </si>
  <si>
    <t>kpis.projects_created_m[8]</t>
  </si>
  <si>
    <t>public_anchors.fortune_500_share</t>
  </si>
  <si>
    <t>public_anchors.agent_4_speed_multiple</t>
  </si>
  <si>
    <t>public_anchors.ukg_feedback_capacity_multiple</t>
  </si>
  <si>
    <t>public_anchors.ukg_employees</t>
  </si>
  <si>
    <t>company_estimates.countries_reached</t>
  </si>
  <si>
    <t>problem_benchmarks.specialized_tools</t>
  </si>
  <si>
    <t>problem_benchmarks.handoffs_low</t>
  </si>
  <si>
    <t>problem_benchmarks.handoffs_high</t>
  </si>
  <si>
    <t>problem_benchmarks.cycle_weeks_low</t>
  </si>
  <si>
    <t>problem_benchmarks.cycle_weeks_high</t>
  </si>
  <si>
    <t>problem_benchmarks.agent_test_cost_usd</t>
  </si>
  <si>
    <t>revenue_quality.recurring_share_2026</t>
  </si>
  <si>
    <t>revenue_quality.usage_share_2026</t>
  </si>
  <si>
    <t>revenue_quality.us_share_2026</t>
  </si>
  <si>
    <t>revenue_quality.emea_share_2026</t>
  </si>
  <si>
    <t>revenue_quality.apac_share_2026</t>
  </si>
  <si>
    <t>revenue_quality.other_share_2026</t>
  </si>
  <si>
    <t>revenue_quality.top_10_customer_share_2026</t>
  </si>
  <si>
    <t>revenue_quality.annual_commit_share_enterprise_2026</t>
  </si>
  <si>
    <t>unit_economics.years[0]</t>
  </si>
  <si>
    <t>unit_economics.years[1]</t>
  </si>
  <si>
    <t>unit_economics.years[2]</t>
  </si>
  <si>
    <t>unit_economics.years[3]</t>
  </si>
  <si>
    <t>unit_economics.years[4]</t>
  </si>
  <si>
    <t>unit_economics.blended_gross_margin[0]</t>
  </si>
  <si>
    <t>unit_economics.blended_gross_margin[1]</t>
  </si>
  <si>
    <t>unit_economics.blended_gross_margin[2]</t>
  </si>
  <si>
    <t>unit_economics.blended_gross_margin[3]</t>
  </si>
  <si>
    <t>unit_economics.blended_gross_margin[4]</t>
  </si>
  <si>
    <t>unit_economics.individual_cac_usd[0]</t>
  </si>
  <si>
    <t>unit_economics.individual_cac_usd[1]</t>
  </si>
  <si>
    <t>unit_economics.individual_cac_usd[2]</t>
  </si>
  <si>
    <t>unit_economics.individual_cac_usd[3]</t>
  </si>
  <si>
    <t>unit_economics.individual_cac_usd[4]</t>
  </si>
  <si>
    <t>unit_economics.individual_payback_months[0]</t>
  </si>
  <si>
    <t>unit_economics.individual_payback_months[1]</t>
  </si>
  <si>
    <t>unit_economics.individual_payback_months[2]</t>
  </si>
  <si>
    <t>unit_economics.individual_payback_months[3]</t>
  </si>
  <si>
    <t>unit_economics.individual_payback_months[4]</t>
  </si>
  <si>
    <t>unit_economics.enterprise_cac_k[0]</t>
  </si>
  <si>
    <t>unit_economics.enterprise_cac_k[1]</t>
  </si>
  <si>
    <t>unit_economics.enterprise_cac_k[2]</t>
  </si>
  <si>
    <t>unit_economics.enterprise_cac_k[3]</t>
  </si>
  <si>
    <t>unit_economics.enterprise_cac_k[4]</t>
  </si>
  <si>
    <t>unit_economics.enterprise_payback_months[0]</t>
  </si>
  <si>
    <t>unit_economics.enterprise_payback_months[1]</t>
  </si>
  <si>
    <t>unit_economics.enterprise_payback_months[2]</t>
  </si>
  <si>
    <t>unit_economics.enterprise_payback_months[3]</t>
  </si>
  <si>
    <t>unit_economics.enterprise_payback_months[4]</t>
  </si>
  <si>
    <t>unit_economics.enterprise_ltv_cac[0]</t>
  </si>
  <si>
    <t>unit_economics.enterprise_ltv_cac[1]</t>
  </si>
  <si>
    <t>unit_economics.enterprise_ltv_cac[2]</t>
  </si>
  <si>
    <t>unit_economics.enterprise_ltv_cac[3]</t>
  </si>
  <si>
    <t>unit_economics.enterprise_ltv_cac[4]</t>
  </si>
  <si>
    <t>unit_economics.compute_cost_per_successful_build_index[0]</t>
  </si>
  <si>
    <t>unit_economics.compute_cost_per_successful_build_index[1]</t>
  </si>
  <si>
    <t>unit_economics.compute_cost_per_successful_build_index[2]</t>
  </si>
  <si>
    <t>unit_economics.compute_cost_per_successful_build_index[3]</t>
  </si>
  <si>
    <t>unit_economics.compute_cost_per_successful_build_index[4]</t>
  </si>
  <si>
    <t>pipeline.as_of</t>
  </si>
  <si>
    <t>2026-Q3</t>
  </si>
  <si>
    <t>pipeline.qualified_pipeline</t>
  </si>
  <si>
    <t>pipeline.late_stage_pipeline</t>
  </si>
  <si>
    <t>pipeline.weighted_pipeline</t>
  </si>
  <si>
    <t>pipeline.next_12m_new_arr_target</t>
  </si>
  <si>
    <t>pipeline.coverage</t>
  </si>
  <si>
    <t>pipeline.win_rate</t>
  </si>
  <si>
    <t>pipeline.median_sales_cycle_days</t>
  </si>
  <si>
    <t>pipeline.quota_attainment</t>
  </si>
  <si>
    <t>pipeline.fully_ramped_reps</t>
  </si>
  <si>
    <t>pipeline.new_arr_per_ramped_rep</t>
  </si>
  <si>
    <t>pipeline.rep_ramp_months</t>
  </si>
  <si>
    <t>cohorts.years[0]</t>
  </si>
  <si>
    <t>cohorts.years[1]</t>
  </si>
  <si>
    <t>cohorts.years[2]</t>
  </si>
  <si>
    <t>cohorts.years[3]</t>
  </si>
  <si>
    <t>cohorts.starting_arr[0]</t>
  </si>
  <si>
    <t>cohorts.starting_arr[1]</t>
  </si>
  <si>
    <t>cohorts.starting_arr[2]</t>
  </si>
  <si>
    <t>cohorts.starting_arr[3]</t>
  </si>
  <si>
    <t>cohorts.month_12_multiple[0]</t>
  </si>
  <si>
    <t>cohorts.month_12_multiple[1]</t>
  </si>
  <si>
    <t>cohorts.month_12_multiple[2]</t>
  </si>
  <si>
    <t>cohorts.month_12_multiple[3]</t>
  </si>
  <si>
    <t>cohorts.month_24_multiple[0]</t>
  </si>
  <si>
    <t>cohorts.month_24_multiple[1]</t>
  </si>
  <si>
    <t>cohorts.month_24_multiple[2]</t>
  </si>
  <si>
    <t>cohorts.month_24_multiple[3]</t>
  </si>
  <si>
    <t>Blank</t>
  </si>
  <si>
    <t>cohorts.month_36_multiple[0]</t>
  </si>
  <si>
    <t>cohorts.month_36_multiple[1]</t>
  </si>
  <si>
    <t>cohorts.month_36_multiple[2]</t>
  </si>
  <si>
    <t>cohorts.month_36_multiple[3]</t>
  </si>
  <si>
    <t>market.segments[0].name</t>
  </si>
  <si>
    <t>Individual creators</t>
  </si>
  <si>
    <t>market.segments[0].population_m</t>
  </si>
  <si>
    <t>market.segments[0].annual_revenue_per_unit</t>
  </si>
  <si>
    <t>market.segments[0].sam</t>
  </si>
  <si>
    <t>market.segments[0].color</t>
  </si>
  <si>
    <t>orange</t>
  </si>
  <si>
    <t>market.segments[1].name</t>
  </si>
  <si>
    <t>Enterprise business builders</t>
  </si>
  <si>
    <t>market.segments[1].population_m</t>
  </si>
  <si>
    <t>market.segments[1].annual_revenue_per_unit</t>
  </si>
  <si>
    <t>market.segments[1].sam</t>
  </si>
  <si>
    <t>market.segments[1].color</t>
  </si>
  <si>
    <t>blue</t>
  </si>
  <si>
    <t>market.segments[2].name</t>
  </si>
  <si>
    <t>Professional development teams</t>
  </si>
  <si>
    <t>market.segments[2].population_m</t>
  </si>
  <si>
    <t>market.segments[2].annual_revenue_per_unit</t>
  </si>
  <si>
    <t>market.segments[2].sam</t>
  </si>
  <si>
    <t>market.segments[2].color</t>
  </si>
  <si>
    <t>coral</t>
  </si>
  <si>
    <t>market.segments[3].name</t>
  </si>
  <si>
    <t>Agent and runtime workloads</t>
  </si>
  <si>
    <t>market.segments[3].population_m</t>
  </si>
  <si>
    <t>market.segments[3].annual_revenue_per_unit</t>
  </si>
  <si>
    <t>market.segments[3].sam</t>
  </si>
  <si>
    <t>market.segments[3].color</t>
  </si>
  <si>
    <t>charcoal</t>
  </si>
  <si>
    <t>use_of_proceeds[0].category</t>
  </si>
  <si>
    <t>Model training and infrastructure</t>
  </si>
  <si>
    <t>use_of_proceeds[0].amount</t>
  </si>
  <si>
    <t>use_of_proceeds[0].percent</t>
  </si>
  <si>
    <t>use_of_proceeds[0].milestone</t>
  </si>
  <si>
    <t>Train Replit models and cut compute cost per successful build by 65%</t>
  </si>
  <si>
    <t>use_of_proceeds[0].color</t>
  </si>
  <si>
    <t>use_of_proceeds[1].category</t>
  </si>
  <si>
    <t>Enterprise expansion</t>
  </si>
  <si>
    <t>use_of_proceeds[1].amount</t>
  </si>
  <si>
    <t>use_of_proceeds[1].percent</t>
  </si>
  <si>
    <t>use_of_proceeds[1].milestone</t>
  </si>
  <si>
    <t>Reach 4,200 enterprise customers and 94% gross retention</t>
  </si>
  <si>
    <t>use_of_proceeds[1].color</t>
  </si>
  <si>
    <t>use_of_proceeds[2].category</t>
  </si>
  <si>
    <t>User growth</t>
  </si>
  <si>
    <t>use_of_proceeds[2].amount</t>
  </si>
  <si>
    <t>use_of_proceeds[2].percent</t>
  </si>
  <si>
    <t>use_of_proceeds[2].milestone</t>
  </si>
  <si>
    <t>Reach 100M registered users and 5M paid individuals</t>
  </si>
  <si>
    <t>use_of_proceeds[2].color</t>
  </si>
  <si>
    <t>use_of_proceeds[3].category</t>
  </si>
  <si>
    <t>International expansion</t>
  </si>
  <si>
    <t>use_of_proceeds[3].amount</t>
  </si>
  <si>
    <t>use_of_proceeds[3].percent</t>
  </si>
  <si>
    <t>use_of_proceeds[3].milestone</t>
  </si>
  <si>
    <t>Add local infrastructure, sales, and compliance in Europe, India, and the Middle East</t>
  </si>
  <si>
    <t>use_of_proceeds[3].color</t>
  </si>
  <si>
    <t>green</t>
  </si>
  <si>
    <t>use_of_proceeds[4].category</t>
  </si>
  <si>
    <t>Talent and research</t>
  </si>
  <si>
    <t>use_of_proceeds[4].amount</t>
  </si>
  <si>
    <t>use_of_proceeds[4].percent</t>
  </si>
  <si>
    <t>use_of_proceeds[4].milestone</t>
  </si>
  <si>
    <t>Hire model, security, enterprise, and international leaders</t>
  </si>
  <si>
    <t>use_of_proceeds[4].color</t>
  </si>
  <si>
    <t>orange_mid</t>
  </si>
  <si>
    <t>use_of_proceeds[5].category</t>
  </si>
  <si>
    <t>Execution reserve</t>
  </si>
  <si>
    <t>use_of_proceeds[5].amount</t>
  </si>
  <si>
    <t>use_of_proceeds[5].percent</t>
  </si>
  <si>
    <t>use_of_proceeds[5].milestone</t>
  </si>
  <si>
    <t>Keep at least $250M of operating cash</t>
  </si>
  <si>
    <t>use_of_proceeds[5].color</t>
  </si>
  <si>
    <t>gray_500</t>
  </si>
  <si>
    <t>cash.as_of_date</t>
  </si>
  <si>
    <t>2026-09-30</t>
  </si>
  <si>
    <t>cash.beginning_cash</t>
  </si>
  <si>
    <t>cash.minimum_cash</t>
  </si>
  <si>
    <t>cash.financing_close_date</t>
  </si>
  <si>
    <t>2026-11-30</t>
  </si>
  <si>
    <t>cash.financing_fees</t>
  </si>
  <si>
    <t>cash.ipo_target_date</t>
  </si>
  <si>
    <t>2030-09-30</t>
  </si>
  <si>
    <t>cash.monthly_start</t>
  </si>
  <si>
    <t>2026-10-31</t>
  </si>
  <si>
    <t>cash.monthly_end</t>
  </si>
  <si>
    <t>2031-12-31</t>
  </si>
  <si>
    <t>cash.beginning_cash_2025</t>
  </si>
  <si>
    <t>cash.prior_financing_by_year.2025</t>
  </si>
  <si>
    <t>cash.prior_financing_by_year.2026</t>
  </si>
  <si>
    <t>scenarios.downside.revenue_multiplier[0]</t>
  </si>
  <si>
    <t>scenarios.downside.revenue_multiplier[1]</t>
  </si>
  <si>
    <t>scenarios.downside.revenue_multiplier[2]</t>
  </si>
  <si>
    <t>scenarios.downside.revenue_multiplier[3]</t>
  </si>
  <si>
    <t>scenarios.downside.revenue_multiplier[4]</t>
  </si>
  <si>
    <t>scenarios.downside.revenue_multiplier[5]</t>
  </si>
  <si>
    <t>scenarios.downside.gross_margin_delta[0]</t>
  </si>
  <si>
    <t>scenarios.downside.gross_margin_delta[1]</t>
  </si>
  <si>
    <t>scenarios.downside.gross_margin_delta[2]</t>
  </si>
  <si>
    <t>scenarios.downside.gross_margin_delta[3]</t>
  </si>
  <si>
    <t>scenarios.downside.gross_margin_delta[4]</t>
  </si>
  <si>
    <t>scenarios.downside.gross_margin_delta[5]</t>
  </si>
  <si>
    <t>scenarios.downside.opex_multiplier[0]</t>
  </si>
  <si>
    <t>scenarios.downside.opex_multiplier[1]</t>
  </si>
  <si>
    <t>scenarios.downside.opex_multiplier[2]</t>
  </si>
  <si>
    <t>scenarios.downside.opex_multiplier[3]</t>
  </si>
  <si>
    <t>scenarios.downside.opex_multiplier[4]</t>
  </si>
  <si>
    <t>scenarios.downside.opex_multiplier[5]</t>
  </si>
  <si>
    <t>scenarios.base.revenue_multiplier[0]</t>
  </si>
  <si>
    <t>scenarios.base.revenue_multiplier[1]</t>
  </si>
  <si>
    <t>scenarios.base.revenue_multiplier[2]</t>
  </si>
  <si>
    <t>scenarios.base.revenue_multiplier[3]</t>
  </si>
  <si>
    <t>scenarios.base.revenue_multiplier[4]</t>
  </si>
  <si>
    <t>scenarios.base.revenue_multiplier[5]</t>
  </si>
  <si>
    <t>scenarios.base.gross_margin_delta[0]</t>
  </si>
  <si>
    <t>scenarios.base.gross_margin_delta[1]</t>
  </si>
  <si>
    <t>scenarios.base.gross_margin_delta[2]</t>
  </si>
  <si>
    <t>scenarios.base.gross_margin_delta[3]</t>
  </si>
  <si>
    <t>scenarios.base.gross_margin_delta[4]</t>
  </si>
  <si>
    <t>scenarios.base.gross_margin_delta[5]</t>
  </si>
  <si>
    <t>scenarios.base.opex_multiplier[0]</t>
  </si>
  <si>
    <t>scenarios.base.opex_multiplier[1]</t>
  </si>
  <si>
    <t>scenarios.base.opex_multiplier[2]</t>
  </si>
  <si>
    <t>scenarios.base.opex_multiplier[3]</t>
  </si>
  <si>
    <t>scenarios.base.opex_multiplier[4]</t>
  </si>
  <si>
    <t>scenarios.base.opex_multiplier[5]</t>
  </si>
  <si>
    <t>scenarios.upside.revenue_multiplier[0]</t>
  </si>
  <si>
    <t>scenarios.upside.revenue_multiplier[1]</t>
  </si>
  <si>
    <t>scenarios.upside.revenue_multiplier[2]</t>
  </si>
  <si>
    <t>scenarios.upside.revenue_multiplier[3]</t>
  </si>
  <si>
    <t>scenarios.upside.revenue_multiplier[4]</t>
  </si>
  <si>
    <t>scenarios.upside.revenue_multiplier[5]</t>
  </si>
  <si>
    <t>scenarios.upside.gross_margin_delta[0]</t>
  </si>
  <si>
    <t>scenarios.upside.gross_margin_delta[1]</t>
  </si>
  <si>
    <t>scenarios.upside.gross_margin_delta[2]</t>
  </si>
  <si>
    <t>scenarios.upside.gross_margin_delta[3]</t>
  </si>
  <si>
    <t>scenarios.upside.gross_margin_delta[4]</t>
  </si>
  <si>
    <t>scenarios.upside.gross_margin_delta[5]</t>
  </si>
  <si>
    <t>scenarios.upside.opex_multiplier[0]</t>
  </si>
  <si>
    <t>scenarios.upside.opex_multiplier[1]</t>
  </si>
  <si>
    <t>scenarios.upside.opex_multiplier[2]</t>
  </si>
  <si>
    <t>scenarios.upside.opex_multiplier[3]</t>
  </si>
  <si>
    <t>scenarios.upside.opex_multiplier[4]</t>
  </si>
  <si>
    <t>scenarios.upside.opex_multiplier[5]</t>
  </si>
  <si>
    <t>valuation.ntm_revenue_year</t>
  </si>
  <si>
    <t>valuation.selected_pre_money_multiple</t>
  </si>
  <si>
    <t>valuation.exit_year</t>
  </si>
  <si>
    <t>valuation.exit_revenue_multiples[0]</t>
  </si>
  <si>
    <t>valuation.exit_revenue_multiples[1]</t>
  </si>
  <si>
    <t>valuation.exit_revenue_multiples[2]</t>
  </si>
  <si>
    <t>valuation.exit_revenue_multiples[3]</t>
  </si>
  <si>
    <t>valuation.dilution_buffer</t>
  </si>
  <si>
    <t>Visuals</t>
  </si>
  <si>
    <t>Charts use the same data as the P&amp;L, cash flow, balance sheet, and operating schedules.</t>
  </si>
  <si>
    <t>Year</t>
  </si>
  <si>
    <t>Individual</t>
  </si>
  <si>
    <t>Enterprise</t>
  </si>
  <si>
    <t>Agent use and hosting</t>
  </si>
  <si>
    <t>Use</t>
  </si>
  <si>
    <t>2026E</t>
  </si>
  <si>
    <t>Primary</t>
  </si>
  <si>
    <t>2027E</t>
  </si>
  <si>
    <t>2028E</t>
  </si>
  <si>
    <t>2029E</t>
  </si>
  <si>
    <t>2030E</t>
  </si>
  <si>
    <t>2031E</t>
  </si>
  <si>
    <t>Month</t>
  </si>
  <si>
    <t>Base with Series E</t>
  </si>
  <si>
    <t>Downside with Series E</t>
  </si>
  <si>
    <t>No Series E</t>
  </si>
  <si>
    <t>Minimum cash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</si>
  <si>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</si>
  <si>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</si>
  <si>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</si>
  <si>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</si>
  <si>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</si>
  <si>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</si>
  <si>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</si>
  <si>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</si>
  <si>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</si>
  <si>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</si>
  <si>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</si>
  <si>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</si>
  <si>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</si>
  <si>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</si>
  <si>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</si>
  <si>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Jan-28</t>
  </si>
  <si>
    <t>Feb-28</t>
  </si>
  <si>
    <t>Mar-28</t>
  </si>
  <si>
    <t>Apr-28</t>
  </si>
  <si>
    <t>May-28</t>
  </si>
  <si>
    <t>Jun-28</t>
  </si>
  <si>
    <t>Jul-28</t>
  </si>
  <si>
    <t>Aug-28</t>
  </si>
  <si>
    <t>Sep-28</t>
  </si>
  <si>
    <t>Oct-28</t>
  </si>
  <si>
    <t>Nov-28</t>
  </si>
  <si>
    <t>Dec-28</t>
  </si>
  <si>
    <t>Jan-29</t>
  </si>
  <si>
    <t>Feb-29</t>
  </si>
  <si>
    <t>Mar-29</t>
  </si>
  <si>
    <t>Apr-29</t>
  </si>
  <si>
    <t>May-29</t>
  </si>
  <si>
    <t>Jun-29</t>
  </si>
  <si>
    <t>Jul-29</t>
  </si>
  <si>
    <t>Aug-29</t>
  </si>
  <si>
    <t>Sep-29</t>
  </si>
  <si>
    <t>Oct-29</t>
  </si>
  <si>
    <t>Nov-29</t>
  </si>
  <si>
    <t>Dec-29</t>
  </si>
  <si>
    <t>Jan-30</t>
  </si>
  <si>
    <t>Feb-30</t>
  </si>
  <si>
    <t>Mar-30</t>
  </si>
  <si>
    <t>Apr-30</t>
  </si>
  <si>
    <t>May-30</t>
  </si>
  <si>
    <t>Jun-30</t>
  </si>
  <si>
    <t>Jul-30</t>
  </si>
  <si>
    <t>Aug-30</t>
  </si>
  <si>
    <t>Sep-30</t>
  </si>
  <si>
    <t>P&amp;L</t>
  </si>
  <si>
    <t>Income statement in $M. All periods are analyst estimates.</t>
  </si>
  <si>
    <t>Metric</t>
  </si>
  <si>
    <t>Revenue</t>
  </si>
  <si>
    <t>Growth</t>
  </si>
  <si>
    <t>Cost of revenue</t>
  </si>
  <si>
    <t>Gross profit</t>
  </si>
  <si>
    <t>Gross margin</t>
  </si>
  <si>
    <t>R&amp;D</t>
  </si>
  <si>
    <t>Sales &amp; marketing</t>
  </si>
  <si>
    <t>G&amp;A</t>
  </si>
  <si>
    <t>Operating income</t>
  </si>
  <si>
    <t>Operating margin</t>
  </si>
  <si>
    <t>Net income</t>
  </si>
  <si>
    <t>Stock compensation included in expenses</t>
  </si>
  <si>
    <t>Cash Flow</t>
  </si>
  <si>
    <t>Annual cash flow and monthly cash runway in $M.</t>
  </si>
  <si>
    <t>Annual cash flow</t>
  </si>
  <si>
    <t>Stock compensation</t>
  </si>
  <si>
    <t>Change in working capital</t>
  </si>
  <si>
    <t>Cash from operations</t>
  </si>
  <si>
    <t>Capital expenditures</t>
  </si>
  <si>
    <t>Free cash flow</t>
  </si>
  <si>
    <t>Prior equity financing</t>
  </si>
  <si>
    <t>Series E primary</t>
  </si>
  <si>
    <t>Financing fees</t>
  </si>
  <si>
    <t>Net change in cash</t>
  </si>
  <si>
    <t>Beginning cash</t>
  </si>
  <si>
    <t>Ending cash</t>
  </si>
  <si>
    <t>Cash summary</t>
  </si>
  <si>
    <t>Evidence</t>
  </si>
  <si>
    <t>Cash at September 2026</t>
  </si>
  <si>
    <t>Est.</t>
  </si>
  <si>
    <t>Minimum operating cash</t>
  </si>
  <si>
    <t>Series E close</t>
  </si>
  <si>
    <t>Net primary proceeds</t>
  </si>
  <si>
    <t>Derived</t>
  </si>
  <si>
    <t>Cash falls below minimum without Series E</t>
  </si>
  <si>
    <t>IPO target</t>
  </si>
  <si>
    <t>Cash at IPO in base case</t>
  </si>
  <si>
    <t>Cash at IPO in downside case</t>
  </si>
  <si>
    <t>Next equity need</t>
  </si>
  <si>
    <t>None before IPO in the base case</t>
  </si>
  <si>
    <t>Operating expenses</t>
  </si>
  <si>
    <t>Adjusted operating income</t>
  </si>
  <si>
    <t>Working capital change</t>
  </si>
  <si>
    <t>Ending cash without Series E</t>
  </si>
  <si>
    <t>Downside ending cash</t>
  </si>
  <si>
    <t>Milestone</t>
  </si>
  <si>
    <t>Series E close | No-Series-E cash below minimum</t>
  </si>
  <si>
    <t>Balance Sheet</t>
  </si>
  <si>
    <t>Simplified balance sheet in $M. Cash links to the cash-flow statement.</t>
  </si>
  <si>
    <t>Balance sheet</t>
  </si>
  <si>
    <t>Cash</t>
  </si>
  <si>
    <t>Accounts receivable</t>
  </si>
  <si>
    <t>Other current assets</t>
  </si>
  <si>
    <t>Property and equipment</t>
  </si>
  <si>
    <t>Other assets</t>
  </si>
  <si>
    <t>Total assets</t>
  </si>
  <si>
    <t>Accounts payable</t>
  </si>
  <si>
    <t>Accrued expenses</t>
  </si>
  <si>
    <t>Deferred revenue</t>
  </si>
  <si>
    <t>Other liabilities</t>
  </si>
  <si>
    <t>Debt</t>
  </si>
  <si>
    <t>Total liabilities</t>
  </si>
  <si>
    <t>Total equity</t>
  </si>
  <si>
    <t>Liabilities and equity</t>
  </si>
  <si>
    <t>Balance check</t>
  </si>
  <si>
    <t>Replit Series E Sourcebook</t>
  </si>
  <si>
    <t>Public evidence, analyst assumptions, operating model, scenarios, and slide-level reconciliation.</t>
  </si>
  <si>
    <t>Important</t>
  </si>
  <si>
    <t>This workbook is an illustrative financing model prepared from public information. It is not Replit confidential information, a forecast issued by Replit, or investment advice.</t>
  </si>
  <si>
    <t>Evidence class</t>
  </si>
  <si>
    <t>Meaning</t>
  </si>
  <si>
    <t>Workbook color</t>
  </si>
  <si>
    <t>Public fact</t>
  </si>
  <si>
    <t>Direct or attributable public disclosure</t>
  </si>
  <si>
    <t>Light orange</t>
  </si>
  <si>
    <t>Arithmetic based on public facts</t>
  </si>
  <si>
    <t>Gray</t>
  </si>
  <si>
    <t>Analyst estimate based on stated assumptions</t>
  </si>
  <si>
    <t>Orange</t>
  </si>
  <si>
    <t>Management target</t>
  </si>
  <si>
    <t>Forward-looking goal stated by management</t>
  </si>
  <si>
    <t>Dark orange</t>
  </si>
  <si>
    <t>Transaction metric</t>
  </si>
  <si>
    <t>Round</t>
  </si>
  <si>
    <t>Illustrative</t>
  </si>
  <si>
    <t>Total raise</t>
  </si>
  <si>
    <t>Primary capital</t>
  </si>
  <si>
    <t>Secondary liquidity</t>
  </si>
  <si>
    <t>Pre-money valuation</t>
  </si>
  <si>
    <t>Post-money valuation</t>
  </si>
  <si>
    <t>Primary dilution</t>
  </si>
  <si>
    <t>Total buyer ownership</t>
  </si>
  <si>
    <t>Source Register</t>
  </si>
  <si>
    <t>Canonical public and modeled sources. URLs are retained for diligence and slide reconciliation.</t>
  </si>
  <si>
    <t>Source ID</t>
  </si>
  <si>
    <t>Publisher</t>
  </si>
  <si>
    <t>Title</t>
  </si>
  <si>
    <t>Publication date</t>
  </si>
  <si>
    <t>Access date</t>
  </si>
  <si>
    <t>Quality</t>
  </si>
  <si>
    <t>URL</t>
  </si>
  <si>
    <t>RPL-D-2026</t>
  </si>
  <si>
    <t>The Future is Actually Very Human</t>
  </si>
  <si>
    <t>primary</t>
  </si>
  <si>
    <t>public</t>
  </si>
  <si>
    <t>https://replit.com/blog/replit-raises-400-million-dollars</t>
  </si>
  <si>
    <t>RPL-C-2025</t>
  </si>
  <si>
    <t>Replit Raises $250M in Series C Funding</t>
  </si>
  <si>
    <t>2025-09-10</t>
  </si>
  <si>
    <t>https://replit.com/news/funding-announcement-series-c</t>
  </si>
  <si>
    <t>RPL-AGENT4-2026</t>
  </si>
  <si>
    <t>Introducing Replit Agent 4: Built for Creativity</t>
  </si>
  <si>
    <t>https://replit.com/blog/introducing-agent-4-built-for-creativity</t>
  </si>
  <si>
    <t>RPL-ENT-2026</t>
  </si>
  <si>
    <t>Replit Enterprise</t>
  </si>
  <si>
    <t>https://replit.com/enterprise</t>
  </si>
  <si>
    <t>RPL-CUST-UKG</t>
  </si>
  <si>
    <t>RPL-ENT-DOC-2026</t>
  </si>
  <si>
    <t>https://docs.replit.com/billing/plans/replit-enterprise</t>
  </si>
  <si>
    <t>RPL-SEC-DOC-2026</t>
  </si>
  <si>
    <t>Information Security</t>
  </si>
  <si>
    <t>https://docs.replit.com/teams/information-security/overview</t>
  </si>
  <si>
    <t>RPL-REVIEW-2025</t>
  </si>
  <si>
    <t>2025: Replit in Review</t>
  </si>
  <si>
    <t>2025-12-18</t>
  </si>
  <si>
    <t>https://replit.com/blog/2025-replit-in-review</t>
  </si>
  <si>
    <t>RPL-SECURITY-AGENT</t>
  </si>
  <si>
    <t>Meet Replit Security Agent</t>
  </si>
  <si>
    <t>https://replit.com/blog/meet-replit-security-agent</t>
  </si>
  <si>
    <t>RPL-PRICING-2026</t>
  </si>
  <si>
    <t>Pricing and Plans</t>
  </si>
  <si>
    <t>https://replit.com/pricing</t>
  </si>
  <si>
    <t>RPL-GOOGLE-2026</t>
  </si>
  <si>
    <t>Build anything. With Google.</t>
  </si>
  <si>
    <t>https://replit.com/partners/google</t>
  </si>
  <si>
    <t>RPL-MICROSOFT-2026</t>
  </si>
  <si>
    <t>Replit × Microsoft Fabric</t>
  </si>
  <si>
    <t>https://replit.com/partners/microsoft</t>
  </si>
  <si>
    <t>RPL-LEADERSHIP-AMJAD</t>
  </si>
  <si>
    <t>Amjad Masad</t>
  </si>
  <si>
    <t>2023-10-05</t>
  </si>
  <si>
    <t>https://replit.com/blog/author/amjad-masad</t>
  </si>
  <si>
    <t>RPL-BRAND</t>
  </si>
  <si>
    <t>Replit Brand</t>
  </si>
  <si>
    <t>https://replit.com/brand</t>
  </si>
  <si>
    <t>TECHCRUNCH-D-2026</t>
  </si>
  <si>
    <t>TechCrunch</t>
  </si>
  <si>
    <t>Replit snags $9B valuation 6 months after hitting $3B</t>
  </si>
  <si>
    <t>major_press</t>
  </si>
  <si>
    <t>https://techcrunch.com/2026/03/11/replit-snags-9b-valuation-6-months-after-hitting-3b/</t>
  </si>
  <si>
    <t>SACRA-2025</t>
  </si>
  <si>
    <t>Sacra</t>
  </si>
  <si>
    <t>Replit at $253M ARR growing 2,352% YoY</t>
  </si>
  <si>
    <t>third_party_analysis</t>
  </si>
  <si>
    <t>estimate</t>
  </si>
  <si>
    <t>https://sacra.com/research/replit-at-253m-arr-growing-2352-yoy/</t>
  </si>
  <si>
    <t>GITHUB-OCTOVERSE-2025</t>
  </si>
  <si>
    <t>GitHub</t>
  </si>
  <si>
    <t>Octoverse 2025</t>
  </si>
  <si>
    <t>2025-11-01</t>
  </si>
  <si>
    <t>primary_research</t>
  </si>
  <si>
    <t>https://github.blog/news-insights/octoverse/</t>
  </si>
  <si>
    <t>EVANS-DEVELOPERS-2024</t>
  </si>
  <si>
    <t>Evans Data Corporation</t>
  </si>
  <si>
    <t>Global Developer Population and Demographic Study</t>
  </si>
  <si>
    <t>2024-07-29</t>
  </si>
  <si>
    <t>https://evansdata.com/press/viewRelease.php?pressID=365</t>
  </si>
  <si>
    <t>IDC-DEVELOPER-2024</t>
  </si>
  <si>
    <t>IDC</t>
  </si>
  <si>
    <t>Worldwide Developer Population Forecast</t>
  </si>
  <si>
    <t>2025</t>
  </si>
  <si>
    <t>market_research</t>
  </si>
  <si>
    <t>https://my.idc.com/getdoc.jsp?containerId=US53592125</t>
  </si>
  <si>
    <t>IDC-KNOWLEDGE-2025</t>
  </si>
  <si>
    <t>Worldwide Knowledge Worker Forecast</t>
  </si>
  <si>
    <t>https://my.idc.com/getdoc.jsp?containerId=US53782225</t>
  </si>
  <si>
    <t>MS-WORK-TREND-2024</t>
  </si>
  <si>
    <t>Microsoft and LinkedIn</t>
  </si>
  <si>
    <t>AI at work is here. Now comes the hard part.</t>
  </si>
  <si>
    <t>2024-05-08</t>
  </si>
  <si>
    <t>https://www.microsoft.com/en-us/worklab/work-trend-index/ai-at-work-is-here-now-comes-the-hard-part</t>
  </si>
  <si>
    <t>GARTNER-AI-CODE-2024</t>
  </si>
  <si>
    <t>Gartner</t>
  </si>
  <si>
    <t>Gartner Says 75% of Enterprise Software Engineers Will Use AI Code Assistants by 2028</t>
  </si>
  <si>
    <t>2024-04-11</t>
  </si>
  <si>
    <t>https://www.gartner.com/en/newsroom/press-releases/2024-04-11-gartner-says-75-percent-of-enterprise-software-engineers-will-use-ai-code-assistants-by-2028</t>
  </si>
  <si>
    <t>GARTNER-CLOUD-2024</t>
  </si>
  <si>
    <t>Worldwide Public Cloud End-User Spending to Total $723.4 Billion in 2025</t>
  </si>
  <si>
    <t>2024-11-19</t>
  </si>
  <si>
    <t>https://www.gartner.com/en/newsroom/press-releases/2024-11-19-gartner-forecasts-worldwide-public-cloud-end-user-spending-to-total-723-billion-dollars-in-2025</t>
  </si>
  <si>
    <t>GVR-AI-CODE-2024</t>
  </si>
  <si>
    <t>Grand View Research</t>
  </si>
  <si>
    <t>AI Code Tools Market Size and Share Report, 2024–2030</t>
  </si>
  <si>
    <t>2024</t>
  </si>
  <si>
    <t>https://www.grandviewresearch.com/industry-analysis/ai-code-tools-market-report</t>
  </si>
  <si>
    <t>CURSOR-D-2025</t>
  </si>
  <si>
    <t>Cursor</t>
  </si>
  <si>
    <t>Cursor Series D</t>
  </si>
  <si>
    <t>2025-11-13</t>
  </si>
  <si>
    <t>https://cursor.com/blog/series-d</t>
  </si>
  <si>
    <t>ANTHROPIC-CLAUDE-CODE-2025</t>
  </si>
  <si>
    <t>Anthropic</t>
  </si>
  <si>
    <t>Anthropic acquires Bun as Claude Code reaches $1B milestone</t>
  </si>
  <si>
    <t>2025-12-03</t>
  </si>
  <si>
    <t>https://www.anthropic.com/news/anthropic-acquires-bun-as-claude-code-reaches-usd1b-milestone</t>
  </si>
  <si>
    <t>LOVABLE-B-2025</t>
  </si>
  <si>
    <t>Lovable</t>
  </si>
  <si>
    <t>Series B</t>
  </si>
  <si>
    <t>https://lovable.dev/blog/series-b</t>
  </si>
  <si>
    <t>MSFT-FY25-Q4</t>
  </si>
  <si>
    <t>Microsoft</t>
  </si>
  <si>
    <t>FY 2025 Q4 Earnings</t>
  </si>
  <si>
    <t>2025-07-30</t>
  </si>
  <si>
    <t>public_company</t>
  </si>
  <si>
    <t>https://www.microsoft.com/en-us/investor/events/fy-2025/earnings-fy-2025-q4</t>
  </si>
  <si>
    <t>COGNITION-WINDSURF</t>
  </si>
  <si>
    <t>Cognition</t>
  </si>
  <si>
    <t>Cognition and Windsurf</t>
  </si>
  <si>
    <t>2025-07-14</t>
  </si>
  <si>
    <t>https://cognition.com/blog/windsurf</t>
  </si>
  <si>
    <t>V0-DOCS</t>
  </si>
  <si>
    <t>Vercel</t>
  </si>
  <si>
    <t>v0 Documentation</t>
  </si>
  <si>
    <t>https://v0.app/docs.md</t>
  </si>
  <si>
    <t>COMP-CRM-2026</t>
  </si>
  <si>
    <t>Stock Analysis</t>
  </si>
  <si>
    <t>Salesforce Statistics</t>
  </si>
  <si>
    <t>market_data</t>
  </si>
  <si>
    <t>https://stockanalysis.com/stocks/crm/statistics/</t>
  </si>
  <si>
    <t>COMP-NOW-2026</t>
  </si>
  <si>
    <t>ServiceNow Statistics</t>
  </si>
  <si>
    <t>https://stockanalysis.com/stocks/now/statistics/</t>
  </si>
  <si>
    <t>COMP-MSFT-2026</t>
  </si>
  <si>
    <t>Microsoft Statistics</t>
  </si>
  <si>
    <t>https://stockanalysis.com/stocks/msft/statistics/</t>
  </si>
  <si>
    <t>COMP-TEAM-2026</t>
  </si>
  <si>
    <t>Atlassian Statistics</t>
  </si>
  <si>
    <t>https://stockanalysis.com/stocks/team/statistics/</t>
  </si>
  <si>
    <t>COMP-GTLB-2026</t>
  </si>
  <si>
    <t>GitLab Statistics</t>
  </si>
  <si>
    <t>https://stockanalysis.com/stocks/gtlb/statistics/</t>
  </si>
  <si>
    <t>COMP-NET-2026</t>
  </si>
  <si>
    <t>Cloudflare Statistics</t>
  </si>
  <si>
    <t>https://stockanalysis.com/stocks/net/statistics/</t>
  </si>
  <si>
    <t>MODEL-ESTIMATES</t>
  </si>
  <si>
    <t>Analyst model</t>
  </si>
  <si>
    <t>Replit Series E operating model</t>
  </si>
  <si>
    <t>modeled</t>
  </si>
  <si>
    <t>Public Facts</t>
  </si>
  <si>
    <t>Claim-level evidence extracted from the source register. Modeled claims remain visibly separate.</t>
  </si>
  <si>
    <t>Claim</t>
  </si>
  <si>
    <t>$400M financing at a $9B valuation</t>
  </si>
  <si>
    <t>More than 50M users</t>
  </si>
  <si>
    <t>Users from 85% of the Fortune 500</t>
  </si>
  <si>
    <t>Management target of $1B run-rate revenue by year-end 2026</t>
  </si>
  <si>
    <t>Global expansion focus across Europe, Asia, and the Middle East</t>
  </si>
  <si>
    <t>Agent 4 is described as 10x faster than Agent 3</t>
  </si>
  <si>
    <t>$250M Series C financing at a $3B valuation</t>
  </si>
  <si>
    <t>Parallel agents and a task-based workflow</t>
  </si>
  <si>
    <t>Design, software, slides, videos, and tools in a unified project</t>
  </si>
  <si>
    <t>Named enterprise references and product positioning</t>
  </si>
  <si>
    <t>UKG has more than 16,000 employees</t>
  </si>
  <si>
    <t>UKG reported a 400% increase in its ability to gather product-led, customer-driven feedback before engineering investment</t>
  </si>
  <si>
    <t>UKG uses Replit for rapid prototyping, product development, and internal tools</t>
  </si>
  <si>
    <t>Unlimited seats and self-serve enterprise upgrade</t>
  </si>
  <si>
    <t>Annual credit commitments and pay-as-you-go usage</t>
  </si>
  <si>
    <t>SSO, SAML, SCIM, RBAC, audit logging, and deployment controls</t>
  </si>
  <si>
    <t>Databricks, BigQuery, Microsoft Fabric, Hex, and Snowflake integrations</t>
  </si>
  <si>
    <t>SOC 2 Type 2 attestation</t>
  </si>
  <si>
    <t>TLS 1.2+ in transit and AES-256 at rest</t>
  </si>
  <si>
    <t>Private-network architecture and WAF protection</t>
  </si>
  <si>
    <t>US hosting with an optional India region</t>
  </si>
  <si>
    <t>SOC 2 Type II with zero exceptions</t>
  </si>
  <si>
    <t>Enterprise controls and ecosystem progress</t>
  </si>
  <si>
    <t>Agent-assisted security review and remediation workflow</t>
  </si>
  <si>
    <t>Free, individual, team, and enterprise monetization structure</t>
  </si>
  <si>
    <t>Usage credits and enterprise commitment architecture</t>
  </si>
  <si>
    <t>Gemini models, Google Cloud infrastructure, and Workspace integrations</t>
  </si>
  <si>
    <t>OneLake, Entra, Purview, and Microsoft Fabric integration</t>
  </si>
  <si>
    <t>Amjad Masad is Replit's founder and CEO</t>
  </si>
  <si>
    <t>Official Replit visual identity and assets</t>
  </si>
  <si>
    <t>Series D context and prior valuation</t>
  </si>
  <si>
    <t>Third-party revenue and margin estimates</t>
  </si>
  <si>
    <t>Global developer and AI coding adoption context</t>
  </si>
  <si>
    <t>27 million professional developers worldwide</t>
  </si>
  <si>
    <t>40.1 million developers in 2025, projected to reach 59.5 million by 2029</t>
  </si>
  <si>
    <t>888 million knowledge workers in 2025, projected to reach 1.2 billion by 2029</t>
  </si>
  <si>
    <t>75% of global knowledge workers reported using generative AI at work</t>
  </si>
  <si>
    <t>75% of enterprise software engineers expected to use AI code assistants by 2028</t>
  </si>
  <si>
    <t>Fewer than 10% used AI code assistants in early 2023</t>
  </si>
  <si>
    <t>$723.4 billion forecast public-cloud end-user spending in 2025</t>
  </si>
  <si>
    <t>AI code tools market growth triangulation</t>
  </si>
  <si>
    <t>$2.3 billion financing at a $29.3 billion valuation</t>
  </si>
  <si>
    <t>More than $1 billion annualized revenue</t>
  </si>
  <si>
    <t>Claude Code reached $1 billion run-rate revenue six months after public launch</t>
  </si>
  <si>
    <t>$330 million financing at a $6.6 billion valuation</t>
  </si>
  <si>
    <t>100,000+ new projects per day and 25 million+ total projects</t>
  </si>
  <si>
    <t>20 million GitHub Copilot users and adoption at 90% of the Fortune 100</t>
  </si>
  <si>
    <t>Windsurf reported $82 million ARR and more than 350 enterprise customers</t>
  </si>
  <si>
    <t>Prompt-to-code product for full-stack applications and agents with Vercel deployment</t>
  </si>
  <si>
    <t>Salesforce forward price-to-sales multiple of approximately 4.5x</t>
  </si>
  <si>
    <t>ServiceNow forward price-to-sales multiple of approximately 8.5x</t>
  </si>
  <si>
    <t>Microsoft market-cap-to-LTM-revenue proxy of approximately 11.4x</t>
  </si>
  <si>
    <t>Atlassian market-cap-to-LTM-revenue proxy of approximately 7.5x</t>
  </si>
  <si>
    <t>GitLab market-cap-to-LTM-revenue proxy of approximately 7.7x</t>
  </si>
  <si>
    <t>Cloudflare market-cap-to-LTM-revenue proxy of approximately 40.4x</t>
  </si>
  <si>
    <t>All non-public historical KPIs, forecasts, scenarios, unit economics, pipeline, and valuation outputs</t>
  </si>
  <si>
    <t>Historical KPIs</t>
  </si>
  <si>
    <t>Public anchors and analyst estimates from 2023 to 2026.</t>
  </si>
  <si>
    <t>Units</t>
  </si>
  <si>
    <t>$M</t>
  </si>
  <si>
    <t>Public anchor / Est.</t>
  </si>
  <si>
    <t>Exit ARR</t>
  </si>
  <si>
    <t>Registered users</t>
  </si>
  <si>
    <t>M</t>
  </si>
  <si>
    <t>Monthly active builders</t>
  </si>
  <si>
    <t>Paid individuals</t>
  </si>
  <si>
    <t>Enterprise customers</t>
  </si>
  <si>
    <t>#</t>
  </si>
  <si>
    <t>Paid conversion</t>
  </si>
  <si>
    <t>%</t>
  </si>
  <si>
    <t>Enterprise GRR</t>
  </si>
  <si>
    <t>Enterprise NRR</t>
  </si>
  <si>
    <t>International revenue share</t>
  </si>
  <si>
    <t>Revenue Build</t>
  </si>
  <si>
    <t>Segment model in $M. The 2023 to 2026 periods are estimated history. The forecast starts in 2027.</t>
  </si>
  <si>
    <t>Usage &amp; deploy</t>
  </si>
  <si>
    <t>Total revenue</t>
  </si>
  <si>
    <t>Year-over-year growth</t>
  </si>
  <si>
    <t>Cohorts &amp; Retention</t>
  </si>
  <si>
    <t>Illustrative enterprise ARR cohorts. All values are analyst estimates.</t>
  </si>
  <si>
    <t>Cohort</t>
  </si>
  <si>
    <t>Start</t>
  </si>
  <si>
    <t>Month 12</t>
  </si>
  <si>
    <t>Month 24</t>
  </si>
  <si>
    <t>Month 36</t>
  </si>
  <si>
    <t>Unit Economics</t>
  </si>
  <si>
    <t>Analyst estimates connecting model efficiency, gross margin, acquisition cost, and payback.</t>
  </si>
  <si>
    <t>Blended gross margin</t>
  </si>
  <si>
    <t>Individual CAC</t>
  </si>
  <si>
    <t>Individual payback</t>
  </si>
  <si>
    <t>Enterprise CAC</t>
  </si>
  <si>
    <t>Enterprise payback</t>
  </si>
  <si>
    <t>Enterprise LTV / CAC</t>
  </si>
  <si>
    <t>Compute cost / successful build index</t>
  </si>
  <si>
    <t>GTM &amp; Pipeline</t>
  </si>
  <si>
    <t>Illustrative Q3 2026 enterprise pipeline and sales-capacity assumptions.</t>
  </si>
  <si>
    <t>Qualified pipeline</t>
  </si>
  <si>
    <t>Late-stage pipeline</t>
  </si>
  <si>
    <t>Weighted pipeline</t>
  </si>
  <si>
    <t>Next-12-month new ARR target</t>
  </si>
  <si>
    <t>Pipeline coverage</t>
  </si>
  <si>
    <t>x</t>
  </si>
  <si>
    <t>Win rate</t>
  </si>
  <si>
    <t>Median sales cycle</t>
  </si>
  <si>
    <t>days</t>
  </si>
  <si>
    <t>Quota attainment</t>
  </si>
  <si>
    <t>Fully ramped reps</t>
  </si>
  <si>
    <t>New ARR per ramped rep</t>
  </si>
  <si>
    <t>Rep ramp</t>
  </si>
  <si>
    <t>months</t>
  </si>
  <si>
    <t>Market Model</t>
  </si>
  <si>
    <t>Bottom-up opportunity sizing. Population and monetization inputs are analyst estimates triangulated to public research.</t>
  </si>
  <si>
    <t>Segment</t>
  </si>
  <si>
    <t>Population / workloads (M)</t>
  </si>
  <si>
    <t>Annual revenue per unit ($)</t>
  </si>
  <si>
    <t>TAM ($M)</t>
  </si>
  <si>
    <t>Near-term SAM ($M)</t>
  </si>
  <si>
    <t>Derived / Est.</t>
  </si>
  <si>
    <t>Total</t>
  </si>
  <si>
    <t>Scenarios</t>
  </si>
  <si>
    <t>Base, downside, and upside operating outcomes from 2026 to 2031.</t>
  </si>
  <si>
    <t>Scenario</t>
  </si>
  <si>
    <t>Downside</t>
  </si>
  <si>
    <t>Adjusted operating margin</t>
  </si>
  <si>
    <t>Base</t>
  </si>
  <si>
    <t>Upside</t>
  </si>
  <si>
    <t>Use of Proceeds</t>
  </si>
  <si>
    <t>Allocation of $800M primary capital. The $200M secondary component is excluded.</t>
  </si>
  <si>
    <t>Category</t>
  </si>
  <si>
    <t>Amount ($M)</t>
  </si>
  <si>
    <t>% of primary</t>
  </si>
  <si>
    <t>Total primary</t>
  </si>
  <si>
    <t>Fully allocated</t>
  </si>
  <si>
    <t>Valuation</t>
  </si>
  <si>
    <t>Illustrative forward-revenue framework. This is not a fairness opinion or investment recommendation.</t>
  </si>
  <si>
    <t>Entry metric</t>
  </si>
  <si>
    <t>2027 revenue</t>
  </si>
  <si>
    <t>Pre-money / NTM revenue</t>
  </si>
  <si>
    <t>Post-money / NTM revenue</t>
  </si>
  <si>
    <t>Exit revenue multiple</t>
  </si>
  <si>
    <t>2030 revenue</t>
  </si>
  <si>
    <t>Implied equity value</t>
  </si>
  <si>
    <t>Gross MOIC</t>
  </si>
  <si>
    <t>Comparable</t>
  </si>
  <si>
    <t>Revenue multiple</t>
  </si>
  <si>
    <t>Basis</t>
  </si>
  <si>
    <t>Caveat</t>
  </si>
  <si>
    <t>Salesforce</t>
  </si>
  <si>
    <t>Forward P/S</t>
  </si>
  <si>
    <t>Public market</t>
  </si>
  <si>
    <t>Atlassian</t>
  </si>
  <si>
    <t>Market cap / LTM revenue</t>
  </si>
  <si>
    <t>Public proxy</t>
  </si>
  <si>
    <t>GitLab</t>
  </si>
  <si>
    <t>ServiceNow</t>
  </si>
  <si>
    <t>Replit Series E</t>
  </si>
  <si>
    <t>Pre-money / 2027E revenue</t>
  </si>
  <si>
    <t>Illustrative entry</t>
  </si>
  <si>
    <t>Valuation / annualized revenue</t>
  </si>
  <si>
    <t>Private-company disclosure</t>
  </si>
  <si>
    <t>Cloudflare</t>
  </si>
  <si>
    <t>High-growth public proxy</t>
  </si>
  <si>
    <t>Slide Reconciliation</t>
  </si>
  <si>
    <t>Headline metrics used in the presentation, with evidence and workbook-cell lineage.</t>
  </si>
  <si>
    <t>Slide</t>
  </si>
  <si>
    <t>Deck display</t>
  </si>
  <si>
    <t>Model value</t>
  </si>
  <si>
    <t>Source IDs</t>
  </si>
  <si>
    <t>Workbook reference</t>
  </si>
  <si>
    <t>Status</t>
  </si>
  <si>
    <t>$20.8B</t>
  </si>
  <si>
    <t>derived</t>
  </si>
  <si>
    <t>'Read Me'!$B$21</t>
  </si>
  <si>
    <t>Linked</t>
  </si>
  <si>
    <t>16.1x</t>
  </si>
  <si>
    <t>'Valuation'!$B$8</t>
  </si>
  <si>
    <t>$20.0B</t>
  </si>
  <si>
    <t>'Read Me'!$B$20</t>
  </si>
  <si>
    <t>$800M</t>
  </si>
  <si>
    <t>'Read Me'!$B$18</t>
  </si>
  <si>
    <t>3.8%</t>
  </si>
  <si>
    <t>'Read Me'!$B$22</t>
  </si>
  <si>
    <t>$200M</t>
  </si>
  <si>
    <t>'Read Me'!$B$19</t>
  </si>
  <si>
    <t>4.8%</t>
  </si>
  <si>
    <t>'Read Me'!$B$23</t>
  </si>
  <si>
    <t>$1.0B</t>
  </si>
  <si>
    <t>'Read Me'!$B$17</t>
  </si>
  <si>
    <t>2026 revenue</t>
  </si>
  <si>
    <t>$650M</t>
  </si>
  <si>
    <t>'Revenue Build'!$E$8</t>
  </si>
  <si>
    <t>Countries reached</t>
  </si>
  <si>
    <t>190+</t>
  </si>
  <si>
    <t>'Assumptions'!$B$203</t>
  </si>
  <si>
    <t>1,200</t>
  </si>
  <si>
    <t>'Historical KPIs'!$F$10</t>
  </si>
  <si>
    <t>Exit ARR target</t>
  </si>
  <si>
    <t>management_target</t>
  </si>
  <si>
    <t>'Historical KPIs'!$F$6</t>
  </si>
  <si>
    <t>Fortune 500 presence</t>
  </si>
  <si>
    <t>85%</t>
  </si>
  <si>
    <t>'Assumptions'!$B$199</t>
  </si>
  <si>
    <t>50M+</t>
  </si>
  <si>
    <t>'Historical KPIs'!$F$7</t>
  </si>
  <si>
    <t>Agent test cost</t>
  </si>
  <si>
    <t>&lt;$1</t>
  </si>
  <si>
    <t>$</t>
  </si>
  <si>
    <t>'Assumptions'!$B$209</t>
  </si>
  <si>
    <t>Cross-functional handoffs</t>
  </si>
  <si>
    <t>7 to 12</t>
  </si>
  <si>
    <t>'Assumptions'!$B$206</t>
  </si>
  <si>
    <t>Idea-to-production cycle</t>
  </si>
  <si>
    <t>4 to 12 wks</t>
  </si>
  <si>
    <t>weeks</t>
  </si>
  <si>
    <t>'Assumptions'!$B$208</t>
  </si>
  <si>
    <t>Specialized tools</t>
  </si>
  <si>
    <t>6+</t>
  </si>
  <si>
    <t>'Assumptions'!$B$204</t>
  </si>
  <si>
    <t>Agent 4 speed improvement</t>
  </si>
  <si>
    <t>10x</t>
  </si>
  <si>
    <t>'Assumptions'!$B$200</t>
  </si>
  <si>
    <t>UKG feedback-capacity gain</t>
  </si>
  <si>
    <t>400%</t>
  </si>
  <si>
    <t>'Assumptions'!$B$201</t>
  </si>
  <si>
    <t>2031 revenue / TAM</t>
  </si>
  <si>
    <t>2.1%</t>
  </si>
  <si>
    <t>Source-only</t>
  </si>
  <si>
    <t>Near-term SAM</t>
  </si>
  <si>
    <t>$90B</t>
  </si>
  <si>
    <t>'Market Model'!$E$9</t>
  </si>
  <si>
    <t>TAM</t>
  </si>
  <si>
    <t>$250B</t>
  </si>
  <si>
    <t>'Market Model'!$D$9</t>
  </si>
  <si>
    <t>2028 adjusted operating income</t>
  </si>
  <si>
    <t>$293M</t>
  </si>
  <si>
    <t>'P&amp;L'!$E$13</t>
  </si>
  <si>
    <t>2028 free cash flow</t>
  </si>
  <si>
    <t>$278M</t>
  </si>
  <si>
    <t>'Cash Flow'!$E$10</t>
  </si>
  <si>
    <t>2031 adjusted operating margin</t>
  </si>
  <si>
    <t>31%</t>
  </si>
  <si>
    <t>'P&amp;L'!$H$14</t>
  </si>
  <si>
    <t>2026 to 2031 revenue CAGR</t>
  </si>
  <si>
    <t>52%</t>
  </si>
  <si>
    <t>2031 enterprise + runtime mix</t>
  </si>
  <si>
    <t>77%</t>
  </si>
  <si>
    <t>2031 gross margin</t>
  </si>
  <si>
    <t>76%</t>
  </si>
  <si>
    <t>'P&amp;L'!$H$9</t>
  </si>
  <si>
    <t>2031 international mix</t>
  </si>
  <si>
    <t>'Assumptions'!$B$171</t>
  </si>
  <si>
    <t>2031 revenue</t>
  </si>
  <si>
    <t>$5.25B</t>
  </si>
  <si>
    <t>'Revenue Build'!$J$8</t>
  </si>
  <si>
    <t>92%</t>
  </si>
  <si>
    <t>'Historical KPIs'!$F$12</t>
  </si>
  <si>
    <t>138%</t>
  </si>
  <si>
    <t>'Historical KPIs'!$F$13</t>
  </si>
  <si>
    <t>2026 gross margin</t>
  </si>
  <si>
    <t>46%</t>
  </si>
  <si>
    <t>'P&amp;L'!$C$9</t>
  </si>
  <si>
    <t>Enterprise CAC payback</t>
  </si>
  <si>
    <t>14 mo.</t>
  </si>
  <si>
    <t>'Unit Economics'!$C$9</t>
  </si>
  <si>
    <t>4.2x</t>
  </si>
  <si>
    <t>'Unit Economics'!$C$10</t>
  </si>
  <si>
    <t>Individual CAC payback</t>
  </si>
  <si>
    <t>6 mo.</t>
  </si>
  <si>
    <t>'Unit Economics'!$C$7</t>
  </si>
  <si>
    <t>$160M</t>
  </si>
  <si>
    <t>'Use of Proceeds'!$B$6</t>
  </si>
  <si>
    <t>$40M</t>
  </si>
  <si>
    <t>'Use of Proceeds'!$B$10</t>
  </si>
  <si>
    <t>$120M</t>
  </si>
  <si>
    <t>'Use of Proceeds'!$B$8</t>
  </si>
  <si>
    <t>$220M</t>
  </si>
  <si>
    <t>'Use of Proceeds'!$B$5</t>
  </si>
  <si>
    <t>Primary allocation</t>
  </si>
  <si>
    <t>'Use of Proceeds'!$B$9</t>
  </si>
  <si>
    <t>$140M</t>
  </si>
  <si>
    <t>'Use of Proceeds'!$B$7</t>
  </si>
  <si>
    <t>$274M</t>
  </si>
  <si>
    <t>'Cash Flow'!$B$20</t>
  </si>
  <si>
    <t>date</t>
  </si>
  <si>
    <t>'Cash Flow'!$B$24</t>
  </si>
  <si>
    <t>Downside cash at IPO</t>
  </si>
  <si>
    <t>$902M</t>
  </si>
  <si>
    <t>'Cash Flow'!$B$27</t>
  </si>
  <si>
    <t>Further equity before IPO</t>
  </si>
  <si>
    <t>None</t>
  </si>
  <si>
    <t>text</t>
  </si>
  <si>
    <t>'Cash Flow'!$B$28</t>
  </si>
  <si>
    <t>H2 2030</t>
  </si>
  <si>
    <t>'Cash Flow'!$B$25</t>
  </si>
  <si>
    <t>$250M</t>
  </si>
  <si>
    <t>'Cash Flow'!$B$21</t>
  </si>
  <si>
    <t>$770M</t>
  </si>
  <si>
    <t>'Cash Flow'!$B$23</t>
  </si>
  <si>
    <t>QA Checks</t>
  </si>
  <si>
    <t>Build-time controls. PASS is required before the materials are considered final.</t>
  </si>
  <si>
    <t>Check</t>
  </si>
  <si>
    <t>Observed</t>
  </si>
  <si>
    <t>Expected / comparator</t>
  </si>
  <si>
    <t>Transaction sources = uses</t>
  </si>
  <si>
    <t>PASS</t>
  </si>
  <si>
    <t>Primary capital fully allocated</t>
  </si>
  <si>
    <t>TAM components sum</t>
  </si>
  <si>
    <t>All public sources have URLs</t>
  </si>
  <si>
    <t>Downside &lt; base &lt; upside revenue in 2031</t>
  </si>
  <si>
    <t>Base free cash flow positive by 2028</t>
  </si>
  <si>
    <t>Series E primary included once</t>
  </si>
  <si>
    <t>No-financing cash falls below minimum</t>
  </si>
  <si>
    <t>Base cash remains above minimum</t>
  </si>
  <si>
    <t>Downside cash remains above 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</si>
</sst>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\$#,##0"/>
    <numFmt numFmtId="165" formatCode="0.0%"/>
    <numFmt numFmtId="166" formatCode="\$#,##0;[Red]\(\$#,##0\)"/>
    <numFmt numFmtId="167" formatCode="0.0%;[Red]\(0.0%\)"/>
    <numFmt numFmtId="168" formatCode="yyyy\-mm\-dd\ h:mm:ss"/>
    <numFmt numFmtId="169" formatCode="\$#,##0.0;[Red]\(\$#,##0.0\)"/>
    <numFmt numFmtId="170" formatCode="0.0"/>
    <numFmt numFmtId="171" formatCode="0.00\x"/>
    <numFmt numFmtId="172" formatCode="\$0"/>
    <numFmt numFmtId="173" formatCode="0.0\ &quot;mo&quot;"/>
    <numFmt numFmtId="174" formatCode="\$0\ &quot;k&quot;"/>
    <numFmt numFmtId="175" formatCode="0\ &quot;mo&quot;"/>
    <numFmt numFmtId="176" formatCode="0.0\x"/>
    <numFmt numFmtId="177" formatCode="0\ &quot;index&quot;"/>
    <numFmt numFmtId="178" formatCode="0\ &quot;days&quot;"/>
    <numFmt numFmtId="179" formatCode="\$0.0\ &quot;M&quot;"/>
  </numFmts>
  <fonts count="8" x14ac:knownFonts="1">
    <font>
      <sz val="11"/>
      <color theme="1"/>
      <name val="Calibri"/>
      <family val="2"/>
      <scheme val="minor"/>
    </font>
    <font>
      <b/>
      <sz val="20"/>
      <color rgb="FF181818"/>
      <name val="Arial"/>
    </font>
    <font>
      <i/>
      <sz val="10"/>
      <color rgb="FF767270"/>
      <name val="Arial"/>
    </font>
    <font>
      <b/>
      <sz val="10"/>
      <color rgb="FFFFFFFF"/>
      <name val="Arial"/>
    </font>
    <font>
      <sz val="9"/>
      <color rgb="FF312E2E"/>
      <name val="Arial"/>
    </font>
    <font>
      <b/>
      <sz val="9"/>
      <color rgb="FF181818"/>
      <name val="Arial"/>
    </font>
    <font>
      <b/>
      <sz val="12"/>
      <color rgb="FFFF3C00"/>
      <name val="Arial"/>
    </font>
    <font>
      <sz val="12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81818"/>
      </patternFill>
    </fill>
    <fill>
      <patternFill patternType="solid">
        <fgColor rgb="FFFFF0E7"/>
      </patternFill>
    </fill>
    <fill>
      <patternFill patternType="solid">
        <fgColor rgb="FFFFE1D6"/>
      </patternFill>
    </fill>
    <fill>
      <patternFill patternType="solid">
        <fgColor rgb="FFF5F3F0"/>
      </patternFill>
    </fill>
    <fill>
      <patternFill patternType="solid">
        <fgColor rgb="FFFFE9DF"/>
      </patternFill>
    </fill>
    <fill>
      <patternFill patternType="solid">
        <fgColor rgb="FFFFD4C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BD4CF"/>
      </bottom>
      <diagonal/>
    </border>
  </borders>
  <cellStyleXfs count="2">
    <xf numFmtId="0" fontId="0" fillId="0" borderId="0"/>
    <xf numFmtId="0" fontId="7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164" fontId="0" fillId="0" borderId="0" xfId="0" applyNumberFormat="1"/>
    <xf numFmtId="0" fontId="5" fillId="0" borderId="1" xfId="0" applyFont="1" applyBorder="1" applyAlignment="1">
      <alignment vertical="top" wrapText="1"/>
    </xf>
    <xf numFmtId="164" fontId="5" fillId="3" borderId="1" xfId="0" applyNumberFormat="1" applyFont="1" applyFill="1" applyBorder="1" applyAlignment="1">
      <alignment vertical="top" wrapText="1"/>
    </xf>
    <xf numFmtId="165" fontId="4" fillId="3" borderId="1" xfId="0" applyNumberFormat="1" applyFont="1" applyFill="1" applyBorder="1" applyAlignment="1">
      <alignment vertical="top" wrapText="1"/>
    </xf>
    <xf numFmtId="164" fontId="4" fillId="3" borderId="1" xfId="0" applyNumberFormat="1" applyFont="1" applyFill="1" applyBorder="1" applyAlignment="1">
      <alignment vertical="top" wrapText="1"/>
    </xf>
    <xf numFmtId="166" fontId="5" fillId="3" borderId="1" xfId="0" applyNumberFormat="1" applyFont="1" applyFill="1" applyBorder="1" applyAlignment="1">
      <alignment vertical="top" wrapText="1"/>
    </xf>
    <xf numFmtId="167" fontId="4" fillId="3" borderId="1" xfId="0" applyNumberFormat="1" applyFont="1" applyFill="1" applyBorder="1" applyAlignment="1">
      <alignment vertical="top" wrapText="1"/>
    </xf>
    <xf numFmtId="166" fontId="4" fillId="3" borderId="1" xfId="0" applyNumberFormat="1" applyFont="1" applyFill="1" applyBorder="1" applyAlignment="1">
      <alignment vertical="top" wrapText="1"/>
    </xf>
    <xf numFmtId="17" fontId="4" fillId="3" borderId="1" xfId="0" applyNumberFormat="1" applyFont="1" applyFill="1" applyBorder="1" applyAlignment="1">
      <alignment vertical="top" wrapText="1"/>
    </xf>
    <xf numFmtId="17" fontId="4" fillId="0" borderId="1" xfId="0" applyNumberFormat="1" applyFont="1" applyBorder="1" applyAlignment="1">
      <alignment vertical="top" wrapText="1"/>
    </xf>
    <xf numFmtId="0" fontId="6" fillId="0" borderId="0" xfId="0" applyFont="1"/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169" fontId="4" fillId="3" borderId="1" xfId="0" applyNumberFormat="1" applyFont="1" applyFill="1" applyBorder="1" applyAlignment="1">
      <alignment vertical="top" wrapText="1"/>
    </xf>
    <xf numFmtId="0" fontId="7" fillId="4" borderId="0" xfId="1" applyFill="1"/>
    <xf numFmtId="0" fontId="7" fillId="3" borderId="0" xfId="1" applyFill="1"/>
    <xf numFmtId="0" fontId="7" fillId="0" borderId="0" xfId="1"/>
    <xf numFmtId="170" fontId="4" fillId="3" borderId="1" xfId="0" applyNumberFormat="1" applyFont="1" applyFill="1" applyBorder="1" applyAlignment="1">
      <alignment vertical="top" wrapText="1"/>
    </xf>
    <xf numFmtId="2" fontId="4" fillId="3" borderId="1" xfId="0" applyNumberFormat="1" applyFont="1" applyFill="1" applyBorder="1" applyAlignment="1">
      <alignment vertical="top" wrapText="1"/>
    </xf>
    <xf numFmtId="3" fontId="4" fillId="3" borderId="1" xfId="0" applyNumberFormat="1" applyFont="1" applyFill="1" applyBorder="1" applyAlignment="1">
      <alignment vertical="top" wrapText="1"/>
    </xf>
    <xf numFmtId="171" fontId="4" fillId="3" borderId="1" xfId="0" applyNumberFormat="1" applyFont="1" applyFill="1" applyBorder="1" applyAlignment="1">
      <alignment vertical="top" wrapText="1"/>
    </xf>
    <xf numFmtId="172" fontId="4" fillId="3" borderId="1" xfId="0" applyNumberFormat="1" applyFont="1" applyFill="1" applyBorder="1" applyAlignment="1">
      <alignment vertical="top" wrapText="1"/>
    </xf>
    <xf numFmtId="173" fontId="4" fillId="3" borderId="1" xfId="0" applyNumberFormat="1" applyFont="1" applyFill="1" applyBorder="1" applyAlignment="1">
      <alignment vertical="top" wrapText="1"/>
    </xf>
    <xf numFmtId="174" fontId="4" fillId="3" borderId="1" xfId="0" applyNumberFormat="1" applyFont="1" applyFill="1" applyBorder="1" applyAlignment="1">
      <alignment vertical="top" wrapText="1"/>
    </xf>
    <xf numFmtId="175" fontId="4" fillId="3" borderId="1" xfId="0" applyNumberFormat="1" applyFont="1" applyFill="1" applyBorder="1" applyAlignment="1">
      <alignment vertical="top" wrapText="1"/>
    </xf>
    <xf numFmtId="176" fontId="4" fillId="3" borderId="1" xfId="0" applyNumberFormat="1" applyFont="1" applyFill="1" applyBorder="1" applyAlignment="1">
      <alignment vertical="top" wrapText="1"/>
    </xf>
    <xf numFmtId="177" fontId="4" fillId="3" borderId="1" xfId="0" applyNumberFormat="1" applyFont="1" applyFill="1" applyBorder="1" applyAlignment="1">
      <alignment vertical="top" wrapText="1"/>
    </xf>
    <xf numFmtId="178" fontId="4" fillId="3" borderId="1" xfId="0" applyNumberFormat="1" applyFont="1" applyFill="1" applyBorder="1" applyAlignment="1">
      <alignment vertical="top" wrapText="1"/>
    </xf>
    <xf numFmtId="179" fontId="4" fillId="3" borderId="1" xfId="0" applyNumberFormat="1" applyFont="1" applyFill="1" applyBorder="1" applyAlignment="1">
      <alignment vertical="top" wrapText="1"/>
    </xf>
    <xf numFmtId="170" fontId="4" fillId="5" borderId="1" xfId="0" applyNumberFormat="1" applyFont="1" applyFill="1" applyBorder="1" applyAlignment="1">
      <alignment vertical="top" wrapText="1"/>
    </xf>
    <xf numFmtId="164" fontId="4" fillId="5" borderId="1" xfId="0" applyNumberFormat="1" applyFont="1" applyFill="1" applyBorder="1" applyAlignment="1">
      <alignment vertical="top" wrapText="1"/>
    </xf>
    <xf numFmtId="164" fontId="4" fillId="7" borderId="1" xfId="0" applyNumberFormat="1" applyFont="1" applyFill="1" applyBorder="1" applyAlignment="1">
      <alignment vertical="top" wrapText="1"/>
    </xf>
    <xf numFmtId="165" fontId="4" fillId="7" borderId="1" xfId="0" applyNumberFormat="1" applyFont="1" applyFill="1" applyBorder="1" applyAlignment="1">
      <alignment vertical="top" wrapText="1"/>
    </xf>
    <xf numFmtId="166" fontId="4" fillId="7" borderId="1" xfId="0" applyNumberFormat="1" applyFont="1" applyFill="1" applyBorder="1" applyAlignment="1">
      <alignment vertical="top" wrapText="1"/>
    </xf>
    <xf numFmtId="165" fontId="4" fillId="5" borderId="1" xfId="0" applyNumberFormat="1" applyFont="1" applyFill="1" applyBorder="1" applyAlignment="1">
      <alignment vertical="top" wrapText="1"/>
    </xf>
    <xf numFmtId="166" fontId="4" fillId="5" borderId="1" xfId="0" applyNumberFormat="1" applyFont="1" applyFill="1" applyBorder="1" applyAlignment="1">
      <alignment vertical="top" wrapText="1"/>
    </xf>
    <xf numFmtId="164" fontId="4" fillId="6" borderId="1" xfId="0" applyNumberFormat="1" applyFont="1" applyFill="1" applyBorder="1" applyAlignment="1">
      <alignment vertical="top" wrapText="1"/>
    </xf>
    <xf numFmtId="165" fontId="4" fillId="6" borderId="1" xfId="0" applyNumberFormat="1" applyFont="1" applyFill="1" applyBorder="1" applyAlignment="1">
      <alignment vertical="top" wrapText="1"/>
    </xf>
    <xf numFmtId="166" fontId="4" fillId="6" borderId="1" xfId="0" applyNumberFormat="1" applyFont="1" applyFill="1" applyBorder="1" applyAlignment="1">
      <alignment vertical="top" wrapText="1"/>
    </xf>
    <xf numFmtId="176" fontId="4" fillId="4" borderId="1" xfId="0" applyNumberFormat="1" applyFont="1" applyFill="1" applyBorder="1" applyAlignment="1">
      <alignment vertical="top" wrapText="1"/>
    </xf>
    <xf numFmtId="165" fontId="4" fillId="4" borderId="1" xfId="0" applyNumberFormat="1" applyFont="1" applyFill="1" applyBorder="1" applyAlignment="1">
      <alignment vertical="top" wrapText="1"/>
    </xf>
    <xf numFmtId="168" fontId="4" fillId="5" borderId="1" xfId="0" applyNumberFormat="1" applyFont="1" applyFill="1" applyBorder="1" applyAlignment="1">
      <alignment vertical="top" wrapText="1"/>
    </xf>
    <xf numFmtId="168" fontId="4" fillId="3" borderId="1" xfId="0" applyNumberFormat="1" applyFont="1" applyFill="1" applyBorder="1" applyAlignment="1">
      <alignment vertical="top" wrapText="1"/>
    </xf>
    <xf numFmtId="168" fontId="4" fillId="6" borderId="1" xfId="0" applyNumberFormat="1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</cellXfs>
  <cellStyles count="2">
    <cellStyle name="Hyperlink" xfId="1" builtinId="8"/>
    <cellStyle name="Normal" xfId="0" builtinId="0"/>
  </cellStyles>
  <dxfs count="1">
    <dxf>
      <fill>
        <patternFill patternType="solid">
          <fgColor rgb="FFFFD4C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Monthly ending cash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'Cash Flow'!$M$31</c:f>
              <c:strCache>
                <c:ptCount val="1"/>
                <c:pt idx="0">
                  <c:v>Ending cash</c:v>
                </c:pt>
              </c:strCache>
            </c:strRef>
          </c:tx>
          <c:spPr>
            <a:ln w="22000">
              <a:solidFill>
                <a:srgbClr val="FF3C00"/>
              </a:solidFill>
              <a:prstDash val="solid"/>
            </a:ln>
          </c:spPr>
          <c:marker>
            <c:symbol val="none"/>
          </c:marker>
          <c:cat>
            <c:numRef>
              <c:f>'Cash Flow'!$A$32:$A$94</c:f>
              <c:numCache>
                <c:formatCode>mmm\-yy</c:formatCode>
                <c:ptCount val="63"/>
                <c:pt idx="0">
                  <c:v>46326</c:v>
                </c:pt>
                <c:pt idx="1">
                  <c:v>46356</c:v>
                </c:pt>
                <c:pt idx="2">
                  <c:v>46387</c:v>
                </c:pt>
                <c:pt idx="3">
                  <c:v>46418</c:v>
                </c:pt>
                <c:pt idx="4">
                  <c:v>46446</c:v>
                </c:pt>
                <c:pt idx="5">
                  <c:v>46477</c:v>
                </c:pt>
                <c:pt idx="6">
                  <c:v>46507</c:v>
                </c:pt>
                <c:pt idx="7">
                  <c:v>46538</c:v>
                </c:pt>
                <c:pt idx="8">
                  <c:v>46568</c:v>
                </c:pt>
                <c:pt idx="9">
                  <c:v>46599</c:v>
                </c:pt>
                <c:pt idx="10">
                  <c:v>46630</c:v>
                </c:pt>
                <c:pt idx="11">
                  <c:v>46660</c:v>
                </c:pt>
                <c:pt idx="12">
                  <c:v>46691</c:v>
                </c:pt>
                <c:pt idx="13">
                  <c:v>46721</c:v>
                </c:pt>
                <c:pt idx="14">
                  <c:v>46752</c:v>
                </c:pt>
                <c:pt idx="15">
                  <c:v>46783</c:v>
                </c:pt>
                <c:pt idx="16">
                  <c:v>46812</c:v>
                </c:pt>
                <c:pt idx="17">
                  <c:v>46843</c:v>
                </c:pt>
                <c:pt idx="18">
                  <c:v>46873</c:v>
                </c:pt>
                <c:pt idx="19">
                  <c:v>46904</c:v>
                </c:pt>
                <c:pt idx="20">
                  <c:v>46934</c:v>
                </c:pt>
                <c:pt idx="21">
                  <c:v>46965</c:v>
                </c:pt>
                <c:pt idx="22">
                  <c:v>46996</c:v>
                </c:pt>
                <c:pt idx="23">
                  <c:v>47026</c:v>
                </c:pt>
                <c:pt idx="24">
                  <c:v>47057</c:v>
                </c:pt>
                <c:pt idx="25">
                  <c:v>47087</c:v>
                </c:pt>
                <c:pt idx="26">
                  <c:v>47118</c:v>
                </c:pt>
                <c:pt idx="27">
                  <c:v>47149</c:v>
                </c:pt>
                <c:pt idx="28">
                  <c:v>47177</c:v>
                </c:pt>
                <c:pt idx="29">
                  <c:v>47208</c:v>
                </c:pt>
                <c:pt idx="30">
                  <c:v>47238</c:v>
                </c:pt>
                <c:pt idx="31">
                  <c:v>47269</c:v>
                </c:pt>
                <c:pt idx="32">
                  <c:v>47299</c:v>
                </c:pt>
                <c:pt idx="33">
                  <c:v>47330</c:v>
                </c:pt>
                <c:pt idx="34">
                  <c:v>47361</c:v>
                </c:pt>
                <c:pt idx="35">
                  <c:v>47391</c:v>
                </c:pt>
                <c:pt idx="36">
                  <c:v>47422</c:v>
                </c:pt>
                <c:pt idx="37">
                  <c:v>47452</c:v>
                </c:pt>
                <c:pt idx="38">
                  <c:v>47483</c:v>
                </c:pt>
                <c:pt idx="39">
                  <c:v>47514</c:v>
                </c:pt>
                <c:pt idx="40">
                  <c:v>47542</c:v>
                </c:pt>
                <c:pt idx="41">
                  <c:v>47573</c:v>
                </c:pt>
                <c:pt idx="42">
                  <c:v>47603</c:v>
                </c:pt>
                <c:pt idx="43">
                  <c:v>47634</c:v>
                </c:pt>
                <c:pt idx="44">
                  <c:v>47664</c:v>
                </c:pt>
                <c:pt idx="45">
                  <c:v>47695</c:v>
                </c:pt>
                <c:pt idx="46">
                  <c:v>47726</c:v>
                </c:pt>
                <c:pt idx="47">
                  <c:v>47756</c:v>
                </c:pt>
                <c:pt idx="48">
                  <c:v>47787</c:v>
                </c:pt>
                <c:pt idx="49">
                  <c:v>47817</c:v>
                </c:pt>
                <c:pt idx="50">
                  <c:v>47848</c:v>
                </c:pt>
                <c:pt idx="51">
                  <c:v>47879</c:v>
                </c:pt>
                <c:pt idx="52">
                  <c:v>47907</c:v>
                </c:pt>
                <c:pt idx="53">
                  <c:v>47938</c:v>
                </c:pt>
                <c:pt idx="54">
                  <c:v>47968</c:v>
                </c:pt>
                <c:pt idx="55">
                  <c:v>47999</c:v>
                </c:pt>
                <c:pt idx="56">
                  <c:v>48029</c:v>
                </c:pt>
                <c:pt idx="57">
                  <c:v>48060</c:v>
                </c:pt>
                <c:pt idx="58">
                  <c:v>48091</c:v>
                </c:pt>
                <c:pt idx="59">
                  <c:v>48121</c:v>
                </c:pt>
                <c:pt idx="60">
                  <c:v>48152</c:v>
                </c:pt>
                <c:pt idx="61">
                  <c:v>48182</c:v>
                </c:pt>
                <c:pt idx="62">
                  <c:v>48213</c:v>
                </c:pt>
              </c:numCache>
            </c:numRef>
          </c:cat>
          <c:val>
            <c:numRef>
              <c:f>'Cash Flow'!$M$32:$M$94</c:f>
              <c:numCache>
                <c:formatCode>\$#,##0</c:formatCode>
                <c:ptCount val="63"/>
                <c:pt idx="0">
                  <c:v>252.26666666666671</c:v>
                </c:pt>
                <c:pt idx="1">
                  <c:v>1000.9333333333331</c:v>
                </c:pt>
                <c:pt idx="2">
                  <c:v>979.6</c:v>
                </c:pt>
                <c:pt idx="3">
                  <c:v>975.7833333333333</c:v>
                </c:pt>
                <c:pt idx="4">
                  <c:v>971.96666666666658</c:v>
                </c:pt>
                <c:pt idx="5">
                  <c:v>968.14999999999986</c:v>
                </c:pt>
                <c:pt idx="6">
                  <c:v>964.33333333333314</c:v>
                </c:pt>
                <c:pt idx="7">
                  <c:v>960.51666666666642</c:v>
                </c:pt>
                <c:pt idx="8">
                  <c:v>956.6999999999997</c:v>
                </c:pt>
                <c:pt idx="9">
                  <c:v>952.88333333333298</c:v>
                </c:pt>
                <c:pt idx="10">
                  <c:v>949.06666666666626</c:v>
                </c:pt>
                <c:pt idx="11">
                  <c:v>945.24999999999955</c:v>
                </c:pt>
                <c:pt idx="12">
                  <c:v>941.43333333333283</c:v>
                </c:pt>
                <c:pt idx="13">
                  <c:v>937.61666666666611</c:v>
                </c:pt>
                <c:pt idx="14">
                  <c:v>933.79999999999939</c:v>
                </c:pt>
                <c:pt idx="15">
                  <c:v>956.96666666666601</c:v>
                </c:pt>
                <c:pt idx="16">
                  <c:v>980.13333333333264</c:v>
                </c:pt>
                <c:pt idx="17">
                  <c:v>1003.299999999999</c:v>
                </c:pt>
                <c:pt idx="18">
                  <c:v>1026.466666666666</c:v>
                </c:pt>
                <c:pt idx="19">
                  <c:v>1049.633333333333</c:v>
                </c:pt>
                <c:pt idx="20">
                  <c:v>1072.799999999999</c:v>
                </c:pt>
                <c:pt idx="21">
                  <c:v>1095.966666666666</c:v>
                </c:pt>
                <c:pt idx="22">
                  <c:v>1119.133333333333</c:v>
                </c:pt>
                <c:pt idx="23">
                  <c:v>1142.3</c:v>
                </c:pt>
                <c:pt idx="24">
                  <c:v>1165.466666666666</c:v>
                </c:pt>
                <c:pt idx="25">
                  <c:v>1188.633333333333</c:v>
                </c:pt>
                <c:pt idx="26">
                  <c:v>1211.8</c:v>
                </c:pt>
                <c:pt idx="27">
                  <c:v>1266.383333333333</c:v>
                </c:pt>
                <c:pt idx="28">
                  <c:v>1320.966666666666</c:v>
                </c:pt>
                <c:pt idx="29">
                  <c:v>1375.55</c:v>
                </c:pt>
                <c:pt idx="30">
                  <c:v>1430.133333333333</c:v>
                </c:pt>
                <c:pt idx="31">
                  <c:v>1484.716666666666</c:v>
                </c:pt>
                <c:pt idx="32">
                  <c:v>1539.299999999999</c:v>
                </c:pt>
                <c:pt idx="33">
                  <c:v>1593.883333333333</c:v>
                </c:pt>
                <c:pt idx="34">
                  <c:v>1648.466666666666</c:v>
                </c:pt>
                <c:pt idx="35">
                  <c:v>1703.049999999999</c:v>
                </c:pt>
                <c:pt idx="36">
                  <c:v>1757.633333333333</c:v>
                </c:pt>
                <c:pt idx="37">
                  <c:v>1812.216666666666</c:v>
                </c:pt>
                <c:pt idx="38">
                  <c:v>1866.799999999999</c:v>
                </c:pt>
                <c:pt idx="39">
                  <c:v>1959.6333333333321</c:v>
                </c:pt>
                <c:pt idx="40">
                  <c:v>2052.4666666666658</c:v>
                </c:pt>
                <c:pt idx="41">
                  <c:v>2145.2999999999988</c:v>
                </c:pt>
                <c:pt idx="42">
                  <c:v>2238.1333333333332</c:v>
                </c:pt>
                <c:pt idx="43">
                  <c:v>2330.9666666666658</c:v>
                </c:pt>
                <c:pt idx="44">
                  <c:v>2423.8000000000002</c:v>
                </c:pt>
                <c:pt idx="45">
                  <c:v>2516.6333333333332</c:v>
                </c:pt>
                <c:pt idx="46">
                  <c:v>2609.4666666666672</c:v>
                </c:pt>
                <c:pt idx="47">
                  <c:v>2702.3</c:v>
                </c:pt>
                <c:pt idx="48">
                  <c:v>2795.1333333333341</c:v>
                </c:pt>
                <c:pt idx="49">
                  <c:v>2887.9666666666672</c:v>
                </c:pt>
                <c:pt idx="50">
                  <c:v>2980.8000000000011</c:v>
                </c:pt>
                <c:pt idx="51">
                  <c:v>3117.8833333333341</c:v>
                </c:pt>
                <c:pt idx="52">
                  <c:v>3254.9666666666681</c:v>
                </c:pt>
                <c:pt idx="53">
                  <c:v>3392.0500000000011</c:v>
                </c:pt>
                <c:pt idx="54">
                  <c:v>3529.133333333335</c:v>
                </c:pt>
                <c:pt idx="55">
                  <c:v>3666.2166666666681</c:v>
                </c:pt>
                <c:pt idx="56">
                  <c:v>3803.300000000002</c:v>
                </c:pt>
                <c:pt idx="57">
                  <c:v>3940.383333333335</c:v>
                </c:pt>
                <c:pt idx="58">
                  <c:v>4077.466666666669</c:v>
                </c:pt>
                <c:pt idx="59">
                  <c:v>4214.550000000002</c:v>
                </c:pt>
                <c:pt idx="60">
                  <c:v>4351.633333333335</c:v>
                </c:pt>
                <c:pt idx="61">
                  <c:v>4488.7166666666681</c:v>
                </c:pt>
                <c:pt idx="62">
                  <c:v>4625.8000000000011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0F5-4E90-B186-BDF0C44C98DC}"/>
            </c:ext>
          </c:extLst>
        </c:ser>
        <c:ser>
          <c:idx val="1"/>
          <c:order val="1"/>
          <c:tx>
            <c:strRef>
              <c:f>'Cash Flow'!$N$31</c:f>
              <c:strCache>
                <c:ptCount val="1"/>
                <c:pt idx="0">
                  <c:v>Ending cash without Series E</c:v>
                </c:pt>
              </c:strCache>
            </c:strRef>
          </c:tx>
          <c:spPr>
            <a:ln w="22000">
              <a:solidFill>
                <a:srgbClr val="A8A5A3"/>
              </a:solidFill>
              <a:prstDash val="solid"/>
            </a:ln>
          </c:spPr>
          <c:marker>
            <c:symbol val="none"/>
          </c:marker>
          <c:cat>
            <c:numRef>
              <c:f>'Cash Flow'!$A$32:$A$94</c:f>
              <c:numCache>
                <c:formatCode>mmm\-yy</c:formatCode>
                <c:ptCount val="63"/>
                <c:pt idx="0">
                  <c:v>46326</c:v>
                </c:pt>
                <c:pt idx="1">
                  <c:v>46356</c:v>
                </c:pt>
                <c:pt idx="2">
                  <c:v>46387</c:v>
                </c:pt>
                <c:pt idx="3">
                  <c:v>46418</c:v>
                </c:pt>
                <c:pt idx="4">
                  <c:v>46446</c:v>
                </c:pt>
                <c:pt idx="5">
                  <c:v>46477</c:v>
                </c:pt>
                <c:pt idx="6">
                  <c:v>46507</c:v>
                </c:pt>
                <c:pt idx="7">
                  <c:v>46538</c:v>
                </c:pt>
                <c:pt idx="8">
                  <c:v>46568</c:v>
                </c:pt>
                <c:pt idx="9">
                  <c:v>46599</c:v>
                </c:pt>
                <c:pt idx="10">
                  <c:v>46630</c:v>
                </c:pt>
                <c:pt idx="11">
                  <c:v>46660</c:v>
                </c:pt>
                <c:pt idx="12">
                  <c:v>46691</c:v>
                </c:pt>
                <c:pt idx="13">
                  <c:v>46721</c:v>
                </c:pt>
                <c:pt idx="14">
                  <c:v>46752</c:v>
                </c:pt>
                <c:pt idx="15">
                  <c:v>46783</c:v>
                </c:pt>
                <c:pt idx="16">
                  <c:v>46812</c:v>
                </c:pt>
                <c:pt idx="17">
                  <c:v>46843</c:v>
                </c:pt>
                <c:pt idx="18">
                  <c:v>46873</c:v>
                </c:pt>
                <c:pt idx="19">
                  <c:v>46904</c:v>
                </c:pt>
                <c:pt idx="20">
                  <c:v>46934</c:v>
                </c:pt>
                <c:pt idx="21">
                  <c:v>46965</c:v>
                </c:pt>
                <c:pt idx="22">
                  <c:v>46996</c:v>
                </c:pt>
                <c:pt idx="23">
                  <c:v>47026</c:v>
                </c:pt>
                <c:pt idx="24">
                  <c:v>47057</c:v>
                </c:pt>
                <c:pt idx="25">
                  <c:v>47087</c:v>
                </c:pt>
                <c:pt idx="26">
                  <c:v>47118</c:v>
                </c:pt>
                <c:pt idx="27">
                  <c:v>47149</c:v>
                </c:pt>
                <c:pt idx="28">
                  <c:v>47177</c:v>
                </c:pt>
                <c:pt idx="29">
                  <c:v>47208</c:v>
                </c:pt>
                <c:pt idx="30">
                  <c:v>47238</c:v>
                </c:pt>
                <c:pt idx="31">
                  <c:v>47269</c:v>
                </c:pt>
                <c:pt idx="32">
                  <c:v>47299</c:v>
                </c:pt>
                <c:pt idx="33">
                  <c:v>47330</c:v>
                </c:pt>
                <c:pt idx="34">
                  <c:v>47361</c:v>
                </c:pt>
                <c:pt idx="35">
                  <c:v>47391</c:v>
                </c:pt>
                <c:pt idx="36">
                  <c:v>47422</c:v>
                </c:pt>
                <c:pt idx="37">
                  <c:v>47452</c:v>
                </c:pt>
                <c:pt idx="38">
                  <c:v>47483</c:v>
                </c:pt>
                <c:pt idx="39">
                  <c:v>47514</c:v>
                </c:pt>
                <c:pt idx="40">
                  <c:v>47542</c:v>
                </c:pt>
                <c:pt idx="41">
                  <c:v>47573</c:v>
                </c:pt>
                <c:pt idx="42">
                  <c:v>47603</c:v>
                </c:pt>
                <c:pt idx="43">
                  <c:v>47634</c:v>
                </c:pt>
                <c:pt idx="44">
                  <c:v>47664</c:v>
                </c:pt>
                <c:pt idx="45">
                  <c:v>47695</c:v>
                </c:pt>
                <c:pt idx="46">
                  <c:v>47726</c:v>
                </c:pt>
                <c:pt idx="47">
                  <c:v>47756</c:v>
                </c:pt>
                <c:pt idx="48">
                  <c:v>47787</c:v>
                </c:pt>
                <c:pt idx="49">
                  <c:v>47817</c:v>
                </c:pt>
                <c:pt idx="50">
                  <c:v>47848</c:v>
                </c:pt>
                <c:pt idx="51">
                  <c:v>47879</c:v>
                </c:pt>
                <c:pt idx="52">
                  <c:v>47907</c:v>
                </c:pt>
                <c:pt idx="53">
                  <c:v>47938</c:v>
                </c:pt>
                <c:pt idx="54">
                  <c:v>47968</c:v>
                </c:pt>
                <c:pt idx="55">
                  <c:v>47999</c:v>
                </c:pt>
                <c:pt idx="56">
                  <c:v>48029</c:v>
                </c:pt>
                <c:pt idx="57">
                  <c:v>48060</c:v>
                </c:pt>
                <c:pt idx="58">
                  <c:v>48091</c:v>
                </c:pt>
                <c:pt idx="59">
                  <c:v>48121</c:v>
                </c:pt>
                <c:pt idx="60">
                  <c:v>48152</c:v>
                </c:pt>
                <c:pt idx="61">
                  <c:v>48182</c:v>
                </c:pt>
                <c:pt idx="62">
                  <c:v>48213</c:v>
                </c:pt>
              </c:numCache>
            </c:numRef>
          </c:cat>
          <c:val>
            <c:numRef>
              <c:f>'Cash Flow'!$N$32:$N$94</c:f>
              <c:numCache>
                <c:formatCode>\$#,##0;[Red]\(\$#,##0\)</c:formatCode>
                <c:ptCount val="63"/>
                <c:pt idx="0">
                  <c:v>252.26666666666671</c:v>
                </c:pt>
                <c:pt idx="1">
                  <c:v>230.93333333333339</c:v>
                </c:pt>
                <c:pt idx="2">
                  <c:v>209.60000000000011</c:v>
                </c:pt>
                <c:pt idx="3">
                  <c:v>205.78333333333339</c:v>
                </c:pt>
                <c:pt idx="4">
                  <c:v>201.96666666666681</c:v>
                </c:pt>
                <c:pt idx="5">
                  <c:v>198.15000000000009</c:v>
                </c:pt>
                <c:pt idx="6">
                  <c:v>194.3333333333334</c:v>
                </c:pt>
                <c:pt idx="7">
                  <c:v>190.51666666666679</c:v>
                </c:pt>
                <c:pt idx="8">
                  <c:v>186.7000000000001</c:v>
                </c:pt>
                <c:pt idx="9">
                  <c:v>182.88333333333341</c:v>
                </c:pt>
                <c:pt idx="10">
                  <c:v>179.0666666666668</c:v>
                </c:pt>
                <c:pt idx="11">
                  <c:v>175.25000000000011</c:v>
                </c:pt>
                <c:pt idx="12">
                  <c:v>171.43333333333351</c:v>
                </c:pt>
                <c:pt idx="13">
                  <c:v>167.61666666666679</c:v>
                </c:pt>
                <c:pt idx="14">
                  <c:v>163.8000000000001</c:v>
                </c:pt>
                <c:pt idx="15">
                  <c:v>186.96666666666681</c:v>
                </c:pt>
                <c:pt idx="16">
                  <c:v>210.13333333333341</c:v>
                </c:pt>
                <c:pt idx="17">
                  <c:v>233.3000000000001</c:v>
                </c:pt>
                <c:pt idx="18">
                  <c:v>256.46666666666681</c:v>
                </c:pt>
                <c:pt idx="19">
                  <c:v>279.63333333333338</c:v>
                </c:pt>
                <c:pt idx="20">
                  <c:v>302.80000000000013</c:v>
                </c:pt>
                <c:pt idx="21">
                  <c:v>325.96666666666681</c:v>
                </c:pt>
                <c:pt idx="22">
                  <c:v>349.1333333333335</c:v>
                </c:pt>
                <c:pt idx="23">
                  <c:v>372.30000000000018</c:v>
                </c:pt>
                <c:pt idx="24">
                  <c:v>395.46666666666692</c:v>
                </c:pt>
                <c:pt idx="25">
                  <c:v>418.63333333333361</c:v>
                </c:pt>
                <c:pt idx="26">
                  <c:v>441.80000000000018</c:v>
                </c:pt>
                <c:pt idx="27">
                  <c:v>496.38333333333361</c:v>
                </c:pt>
                <c:pt idx="28">
                  <c:v>550.96666666666692</c:v>
                </c:pt>
                <c:pt idx="29">
                  <c:v>605.5500000000003</c:v>
                </c:pt>
                <c:pt idx="30">
                  <c:v>660.13333333333367</c:v>
                </c:pt>
                <c:pt idx="31">
                  <c:v>714.71666666666704</c:v>
                </c:pt>
                <c:pt idx="32">
                  <c:v>769.30000000000041</c:v>
                </c:pt>
                <c:pt idx="33">
                  <c:v>823.88333333333378</c:v>
                </c:pt>
                <c:pt idx="34">
                  <c:v>878.46666666666715</c:v>
                </c:pt>
                <c:pt idx="35">
                  <c:v>933.05000000000052</c:v>
                </c:pt>
                <c:pt idx="36">
                  <c:v>987.63333333333389</c:v>
                </c:pt>
                <c:pt idx="37">
                  <c:v>1042.2166666666669</c:v>
                </c:pt>
                <c:pt idx="38">
                  <c:v>1096.8</c:v>
                </c:pt>
                <c:pt idx="39">
                  <c:v>1189.6333333333339</c:v>
                </c:pt>
                <c:pt idx="40">
                  <c:v>1282.4666666666669</c:v>
                </c:pt>
                <c:pt idx="41">
                  <c:v>1375.3</c:v>
                </c:pt>
                <c:pt idx="42">
                  <c:v>1468.133333333333</c:v>
                </c:pt>
                <c:pt idx="43">
                  <c:v>1560.9666666666669</c:v>
                </c:pt>
                <c:pt idx="44">
                  <c:v>1653.8</c:v>
                </c:pt>
                <c:pt idx="45">
                  <c:v>1746.633333333333</c:v>
                </c:pt>
                <c:pt idx="46">
                  <c:v>1839.466666666666</c:v>
                </c:pt>
                <c:pt idx="47">
                  <c:v>1932.3</c:v>
                </c:pt>
                <c:pt idx="48">
                  <c:v>2025.133333333333</c:v>
                </c:pt>
                <c:pt idx="49">
                  <c:v>2117.9666666666658</c:v>
                </c:pt>
                <c:pt idx="50">
                  <c:v>2210.8000000000002</c:v>
                </c:pt>
                <c:pt idx="51">
                  <c:v>2347.8833333333332</c:v>
                </c:pt>
                <c:pt idx="52">
                  <c:v>2484.9666666666672</c:v>
                </c:pt>
                <c:pt idx="53">
                  <c:v>2622.05</c:v>
                </c:pt>
                <c:pt idx="54">
                  <c:v>2759.1333333333341</c:v>
                </c:pt>
                <c:pt idx="55">
                  <c:v>2896.2166666666672</c:v>
                </c:pt>
                <c:pt idx="56">
                  <c:v>3033.3000000000011</c:v>
                </c:pt>
                <c:pt idx="57">
                  <c:v>3170.3833333333341</c:v>
                </c:pt>
                <c:pt idx="58">
                  <c:v>3307.4666666666681</c:v>
                </c:pt>
                <c:pt idx="59">
                  <c:v>3444.5500000000011</c:v>
                </c:pt>
                <c:pt idx="60">
                  <c:v>3581.633333333335</c:v>
                </c:pt>
                <c:pt idx="61">
                  <c:v>3718.7166666666681</c:v>
                </c:pt>
                <c:pt idx="62">
                  <c:v>3855.800000000002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0F5-4E90-B186-BDF0C44C98DC}"/>
            </c:ext>
          </c:extLst>
        </c:ser>
        <c:ser>
          <c:idx val="2"/>
          <c:order val="2"/>
          <c:tx>
            <c:strRef>
              <c:f>'Cash Flow'!$O$31</c:f>
              <c:strCache>
                <c:ptCount val="1"/>
                <c:pt idx="0">
                  <c:v>Downside ending cash</c:v>
                </c:pt>
              </c:strCache>
            </c:strRef>
          </c:tx>
          <c:spPr>
            <a:ln w="22000">
              <a:solidFill>
                <a:srgbClr val="D95A2B"/>
              </a:solidFill>
              <a:prstDash val="solid"/>
            </a:ln>
          </c:spPr>
          <c:marker>
            <c:symbol val="none"/>
          </c:marker>
          <c:cat>
            <c:numRef>
              <c:f>'Cash Flow'!$A$32:$A$94</c:f>
              <c:numCache>
                <c:formatCode>mmm\-yy</c:formatCode>
                <c:ptCount val="63"/>
                <c:pt idx="0">
                  <c:v>46326</c:v>
                </c:pt>
                <c:pt idx="1">
                  <c:v>46356</c:v>
                </c:pt>
                <c:pt idx="2">
                  <c:v>46387</c:v>
                </c:pt>
                <c:pt idx="3">
                  <c:v>46418</c:v>
                </c:pt>
                <c:pt idx="4">
                  <c:v>46446</c:v>
                </c:pt>
                <c:pt idx="5">
                  <c:v>46477</c:v>
                </c:pt>
                <c:pt idx="6">
                  <c:v>46507</c:v>
                </c:pt>
                <c:pt idx="7">
                  <c:v>46538</c:v>
                </c:pt>
                <c:pt idx="8">
                  <c:v>46568</c:v>
                </c:pt>
                <c:pt idx="9">
                  <c:v>46599</c:v>
                </c:pt>
                <c:pt idx="10">
                  <c:v>46630</c:v>
                </c:pt>
                <c:pt idx="11">
                  <c:v>46660</c:v>
                </c:pt>
                <c:pt idx="12">
                  <c:v>46691</c:v>
                </c:pt>
                <c:pt idx="13">
                  <c:v>46721</c:v>
                </c:pt>
                <c:pt idx="14">
                  <c:v>46752</c:v>
                </c:pt>
                <c:pt idx="15">
                  <c:v>46783</c:v>
                </c:pt>
                <c:pt idx="16">
                  <c:v>46812</c:v>
                </c:pt>
                <c:pt idx="17">
                  <c:v>46843</c:v>
                </c:pt>
                <c:pt idx="18">
                  <c:v>46873</c:v>
                </c:pt>
                <c:pt idx="19">
                  <c:v>46904</c:v>
                </c:pt>
                <c:pt idx="20">
                  <c:v>46934</c:v>
                </c:pt>
                <c:pt idx="21">
                  <c:v>46965</c:v>
                </c:pt>
                <c:pt idx="22">
                  <c:v>46996</c:v>
                </c:pt>
                <c:pt idx="23">
                  <c:v>47026</c:v>
                </c:pt>
                <c:pt idx="24">
                  <c:v>47057</c:v>
                </c:pt>
                <c:pt idx="25">
                  <c:v>47087</c:v>
                </c:pt>
                <c:pt idx="26">
                  <c:v>47118</c:v>
                </c:pt>
                <c:pt idx="27">
                  <c:v>47149</c:v>
                </c:pt>
                <c:pt idx="28">
                  <c:v>47177</c:v>
                </c:pt>
                <c:pt idx="29">
                  <c:v>47208</c:v>
                </c:pt>
                <c:pt idx="30">
                  <c:v>47238</c:v>
                </c:pt>
                <c:pt idx="31">
                  <c:v>47269</c:v>
                </c:pt>
                <c:pt idx="32">
                  <c:v>47299</c:v>
                </c:pt>
                <c:pt idx="33">
                  <c:v>47330</c:v>
                </c:pt>
                <c:pt idx="34">
                  <c:v>47361</c:v>
                </c:pt>
                <c:pt idx="35">
                  <c:v>47391</c:v>
                </c:pt>
                <c:pt idx="36">
                  <c:v>47422</c:v>
                </c:pt>
                <c:pt idx="37">
                  <c:v>47452</c:v>
                </c:pt>
                <c:pt idx="38">
                  <c:v>47483</c:v>
                </c:pt>
                <c:pt idx="39">
                  <c:v>47514</c:v>
                </c:pt>
                <c:pt idx="40">
                  <c:v>47542</c:v>
                </c:pt>
                <c:pt idx="41">
                  <c:v>47573</c:v>
                </c:pt>
                <c:pt idx="42">
                  <c:v>47603</c:v>
                </c:pt>
                <c:pt idx="43">
                  <c:v>47634</c:v>
                </c:pt>
                <c:pt idx="44">
                  <c:v>47664</c:v>
                </c:pt>
                <c:pt idx="45">
                  <c:v>47695</c:v>
                </c:pt>
                <c:pt idx="46">
                  <c:v>47726</c:v>
                </c:pt>
                <c:pt idx="47">
                  <c:v>47756</c:v>
                </c:pt>
                <c:pt idx="48">
                  <c:v>47787</c:v>
                </c:pt>
                <c:pt idx="49">
                  <c:v>47817</c:v>
                </c:pt>
                <c:pt idx="50">
                  <c:v>47848</c:v>
                </c:pt>
                <c:pt idx="51">
                  <c:v>47879</c:v>
                </c:pt>
                <c:pt idx="52">
                  <c:v>47907</c:v>
                </c:pt>
                <c:pt idx="53">
                  <c:v>47938</c:v>
                </c:pt>
                <c:pt idx="54">
                  <c:v>47968</c:v>
                </c:pt>
                <c:pt idx="55">
                  <c:v>47999</c:v>
                </c:pt>
                <c:pt idx="56">
                  <c:v>48029</c:v>
                </c:pt>
                <c:pt idx="57">
                  <c:v>48060</c:v>
                </c:pt>
                <c:pt idx="58">
                  <c:v>48091</c:v>
                </c:pt>
                <c:pt idx="59">
                  <c:v>48121</c:v>
                </c:pt>
                <c:pt idx="60">
                  <c:v>48152</c:v>
                </c:pt>
                <c:pt idx="61">
                  <c:v>48182</c:v>
                </c:pt>
                <c:pt idx="62">
                  <c:v>48213</c:v>
                </c:pt>
              </c:numCache>
            </c:numRef>
          </c:cat>
          <c:val>
            <c:numRef>
              <c:f>'Cash Flow'!$O$32:$O$94</c:f>
              <c:numCache>
                <c:formatCode>\$#,##0;[Red]\(\$#,##0\)</c:formatCode>
                <c:ptCount val="63"/>
                <c:pt idx="0">
                  <c:v>252.26666666666671</c:v>
                </c:pt>
                <c:pt idx="1">
                  <c:v>1000.9333333333331</c:v>
                </c:pt>
                <c:pt idx="2">
                  <c:v>979.6</c:v>
                </c:pt>
                <c:pt idx="3">
                  <c:v>965.07533333333333</c:v>
                </c:pt>
                <c:pt idx="4">
                  <c:v>950.55066666666664</c:v>
                </c:pt>
                <c:pt idx="5">
                  <c:v>936.02599999999995</c:v>
                </c:pt>
                <c:pt idx="6">
                  <c:v>921.50133333333326</c:v>
                </c:pt>
                <c:pt idx="7">
                  <c:v>906.97666666666657</c:v>
                </c:pt>
                <c:pt idx="8">
                  <c:v>892.45199999999988</c:v>
                </c:pt>
                <c:pt idx="9">
                  <c:v>877.92733333333319</c:v>
                </c:pt>
                <c:pt idx="10">
                  <c:v>863.40266666666651</c:v>
                </c:pt>
                <c:pt idx="11">
                  <c:v>848.87799999999982</c:v>
                </c:pt>
                <c:pt idx="12">
                  <c:v>834.35333333333313</c:v>
                </c:pt>
                <c:pt idx="13">
                  <c:v>819.82866666666644</c:v>
                </c:pt>
                <c:pt idx="14">
                  <c:v>805.30399999999975</c:v>
                </c:pt>
                <c:pt idx="15">
                  <c:v>799.89858333333314</c:v>
                </c:pt>
                <c:pt idx="16">
                  <c:v>794.49316666666653</c:v>
                </c:pt>
                <c:pt idx="17">
                  <c:v>789.08774999999991</c:v>
                </c:pt>
                <c:pt idx="18">
                  <c:v>783.6823333333333</c:v>
                </c:pt>
                <c:pt idx="19">
                  <c:v>778.27691666666669</c:v>
                </c:pt>
                <c:pt idx="20">
                  <c:v>772.87150000000008</c:v>
                </c:pt>
                <c:pt idx="21">
                  <c:v>767.46608333333347</c:v>
                </c:pt>
                <c:pt idx="22">
                  <c:v>762.06066666666686</c:v>
                </c:pt>
                <c:pt idx="23">
                  <c:v>756.65525000000025</c:v>
                </c:pt>
                <c:pt idx="24">
                  <c:v>751.24983333333364</c:v>
                </c:pt>
                <c:pt idx="25">
                  <c:v>745.84441666666703</c:v>
                </c:pt>
                <c:pt idx="26">
                  <c:v>740.43900000000042</c:v>
                </c:pt>
                <c:pt idx="27">
                  <c:v>742.9973333333337</c:v>
                </c:pt>
                <c:pt idx="28">
                  <c:v>745.55566666666698</c:v>
                </c:pt>
                <c:pt idx="29">
                  <c:v>748.11400000000026</c:v>
                </c:pt>
                <c:pt idx="30">
                  <c:v>750.67233333333354</c:v>
                </c:pt>
                <c:pt idx="31">
                  <c:v>753.23066666666682</c:v>
                </c:pt>
                <c:pt idx="32">
                  <c:v>755.7890000000001</c:v>
                </c:pt>
                <c:pt idx="33">
                  <c:v>758.34733333333338</c:v>
                </c:pt>
                <c:pt idx="34">
                  <c:v>760.90566666666666</c:v>
                </c:pt>
                <c:pt idx="35">
                  <c:v>763.46399999999994</c:v>
                </c:pt>
                <c:pt idx="36">
                  <c:v>766.02233333333322</c:v>
                </c:pt>
                <c:pt idx="37">
                  <c:v>768.5806666666665</c:v>
                </c:pt>
                <c:pt idx="38">
                  <c:v>771.13899999999978</c:v>
                </c:pt>
                <c:pt idx="39">
                  <c:v>785.70233333333317</c:v>
                </c:pt>
                <c:pt idx="40">
                  <c:v>800.26566666666656</c:v>
                </c:pt>
                <c:pt idx="41">
                  <c:v>814.82899999999995</c:v>
                </c:pt>
                <c:pt idx="42">
                  <c:v>829.39233333333334</c:v>
                </c:pt>
                <c:pt idx="43">
                  <c:v>843.95566666666673</c:v>
                </c:pt>
                <c:pt idx="44">
                  <c:v>858.51900000000012</c:v>
                </c:pt>
                <c:pt idx="45">
                  <c:v>873.08233333333351</c:v>
                </c:pt>
                <c:pt idx="46">
                  <c:v>887.6456666666669</c:v>
                </c:pt>
                <c:pt idx="47">
                  <c:v>902.20900000000029</c:v>
                </c:pt>
                <c:pt idx="48">
                  <c:v>916.77233333333368</c:v>
                </c:pt>
                <c:pt idx="49">
                  <c:v>931.33566666666707</c:v>
                </c:pt>
                <c:pt idx="50">
                  <c:v>945.89900000000046</c:v>
                </c:pt>
                <c:pt idx="51">
                  <c:v>978.30108333333374</c:v>
                </c:pt>
                <c:pt idx="52">
                  <c:v>1010.703166666667</c:v>
                </c:pt>
                <c:pt idx="53">
                  <c:v>1043.1052500000001</c:v>
                </c:pt>
                <c:pt idx="54">
                  <c:v>1075.5073333333339</c:v>
                </c:pt>
                <c:pt idx="55">
                  <c:v>1107.9094166666671</c:v>
                </c:pt>
                <c:pt idx="56">
                  <c:v>1140.3115</c:v>
                </c:pt>
                <c:pt idx="57">
                  <c:v>1172.7135833333341</c:v>
                </c:pt>
                <c:pt idx="58">
                  <c:v>1205.115666666667</c:v>
                </c:pt>
                <c:pt idx="59">
                  <c:v>1237.5177500000009</c:v>
                </c:pt>
                <c:pt idx="60">
                  <c:v>1269.9198333333341</c:v>
                </c:pt>
                <c:pt idx="61">
                  <c:v>1302.321916666667</c:v>
                </c:pt>
                <c:pt idx="62">
                  <c:v>1334.7240000000011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0F5-4E90-B186-BDF0C44C98DC}"/>
            </c:ext>
          </c:extLst>
        </c:ser>
        <c:ser>
          <c:idx val="3"/>
          <c:order val="3"/>
          <c:tx>
            <c:strRef>
              <c:f>'Cash Flow'!$P$31</c:f>
              <c:strCache>
                <c:ptCount val="1"/>
                <c:pt idx="0">
                  <c:v>Minimum cash</c:v>
                </c:pt>
              </c:strCache>
            </c:strRef>
          </c:tx>
          <c:spPr>
            <a:ln w="22000">
              <a:solidFill>
                <a:srgbClr val="B83200"/>
              </a:solidFill>
              <a:prstDash val="solid"/>
            </a:ln>
          </c:spPr>
          <c:marker>
            <c:symbol val="none"/>
          </c:marker>
          <c:cat>
            <c:numRef>
              <c:f>'Cash Flow'!$A$32:$A$94</c:f>
              <c:numCache>
                <c:formatCode>mmm\-yy</c:formatCode>
                <c:ptCount val="63"/>
                <c:pt idx="0">
                  <c:v>46326</c:v>
                </c:pt>
                <c:pt idx="1">
                  <c:v>46356</c:v>
                </c:pt>
                <c:pt idx="2">
                  <c:v>46387</c:v>
                </c:pt>
                <c:pt idx="3">
                  <c:v>46418</c:v>
                </c:pt>
                <c:pt idx="4">
                  <c:v>46446</c:v>
                </c:pt>
                <c:pt idx="5">
                  <c:v>46477</c:v>
                </c:pt>
                <c:pt idx="6">
                  <c:v>46507</c:v>
                </c:pt>
                <c:pt idx="7">
                  <c:v>46538</c:v>
                </c:pt>
                <c:pt idx="8">
                  <c:v>46568</c:v>
                </c:pt>
                <c:pt idx="9">
                  <c:v>46599</c:v>
                </c:pt>
                <c:pt idx="10">
                  <c:v>46630</c:v>
                </c:pt>
                <c:pt idx="11">
                  <c:v>46660</c:v>
                </c:pt>
                <c:pt idx="12">
                  <c:v>46691</c:v>
                </c:pt>
                <c:pt idx="13">
                  <c:v>46721</c:v>
                </c:pt>
                <c:pt idx="14">
                  <c:v>46752</c:v>
                </c:pt>
                <c:pt idx="15">
                  <c:v>46783</c:v>
                </c:pt>
                <c:pt idx="16">
                  <c:v>46812</c:v>
                </c:pt>
                <c:pt idx="17">
                  <c:v>46843</c:v>
                </c:pt>
                <c:pt idx="18">
                  <c:v>46873</c:v>
                </c:pt>
                <c:pt idx="19">
                  <c:v>46904</c:v>
                </c:pt>
                <c:pt idx="20">
                  <c:v>46934</c:v>
                </c:pt>
                <c:pt idx="21">
                  <c:v>46965</c:v>
                </c:pt>
                <c:pt idx="22">
                  <c:v>46996</c:v>
                </c:pt>
                <c:pt idx="23">
                  <c:v>47026</c:v>
                </c:pt>
                <c:pt idx="24">
                  <c:v>47057</c:v>
                </c:pt>
                <c:pt idx="25">
                  <c:v>47087</c:v>
                </c:pt>
                <c:pt idx="26">
                  <c:v>47118</c:v>
                </c:pt>
                <c:pt idx="27">
                  <c:v>47149</c:v>
                </c:pt>
                <c:pt idx="28">
                  <c:v>47177</c:v>
                </c:pt>
                <c:pt idx="29">
                  <c:v>47208</c:v>
                </c:pt>
                <c:pt idx="30">
                  <c:v>47238</c:v>
                </c:pt>
                <c:pt idx="31">
                  <c:v>47269</c:v>
                </c:pt>
                <c:pt idx="32">
                  <c:v>47299</c:v>
                </c:pt>
                <c:pt idx="33">
                  <c:v>47330</c:v>
                </c:pt>
                <c:pt idx="34">
                  <c:v>47361</c:v>
                </c:pt>
                <c:pt idx="35">
                  <c:v>47391</c:v>
                </c:pt>
                <c:pt idx="36">
                  <c:v>47422</c:v>
                </c:pt>
                <c:pt idx="37">
                  <c:v>47452</c:v>
                </c:pt>
                <c:pt idx="38">
                  <c:v>47483</c:v>
                </c:pt>
                <c:pt idx="39">
                  <c:v>47514</c:v>
                </c:pt>
                <c:pt idx="40">
                  <c:v>47542</c:v>
                </c:pt>
                <c:pt idx="41">
                  <c:v>47573</c:v>
                </c:pt>
                <c:pt idx="42">
                  <c:v>47603</c:v>
                </c:pt>
                <c:pt idx="43">
                  <c:v>47634</c:v>
                </c:pt>
                <c:pt idx="44">
                  <c:v>47664</c:v>
                </c:pt>
                <c:pt idx="45">
                  <c:v>47695</c:v>
                </c:pt>
                <c:pt idx="46">
                  <c:v>47726</c:v>
                </c:pt>
                <c:pt idx="47">
                  <c:v>47756</c:v>
                </c:pt>
                <c:pt idx="48">
                  <c:v>47787</c:v>
                </c:pt>
                <c:pt idx="49">
                  <c:v>47817</c:v>
                </c:pt>
                <c:pt idx="50">
                  <c:v>47848</c:v>
                </c:pt>
                <c:pt idx="51">
                  <c:v>47879</c:v>
                </c:pt>
                <c:pt idx="52">
                  <c:v>47907</c:v>
                </c:pt>
                <c:pt idx="53">
                  <c:v>47938</c:v>
                </c:pt>
                <c:pt idx="54">
                  <c:v>47968</c:v>
                </c:pt>
                <c:pt idx="55">
                  <c:v>47999</c:v>
                </c:pt>
                <c:pt idx="56">
                  <c:v>48029</c:v>
                </c:pt>
                <c:pt idx="57">
                  <c:v>48060</c:v>
                </c:pt>
                <c:pt idx="58">
                  <c:v>48091</c:v>
                </c:pt>
                <c:pt idx="59">
                  <c:v>48121</c:v>
                </c:pt>
                <c:pt idx="60">
                  <c:v>48152</c:v>
                </c:pt>
                <c:pt idx="61">
                  <c:v>48182</c:v>
                </c:pt>
                <c:pt idx="62">
                  <c:v>48213</c:v>
                </c:pt>
              </c:numCache>
            </c:numRef>
          </c:cat>
          <c:val>
            <c:numRef>
              <c:f>'Cash Flow'!$P$32:$P$94</c:f>
              <c:numCache>
                <c:formatCode>\$#,##0</c:formatCode>
                <c:ptCount val="63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0F5-4E90-B186-BDF0C44C9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mm\-yy" sourceLinked="0"/>
        <c:majorTickMark val="none"/>
        <c:minorTickMark val="none"/>
        <c:tickLblPos val="low"/>
        <c:crossAx val="100"/>
        <c:crosses val="autoZero"/>
        <c:auto val="1"/>
        <c:lblOffset val="100"/>
        <c:baseTimeUnit val="months"/>
        <c:majorUnit val="6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$M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t>Revenue by segment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w="22000">
              <a:solidFill>
                <a:srgbClr val="FF3C00"/>
              </a:solidFill>
              <a:prstDash val="solid"/>
            </a:ln>
          </c:spPr>
          <c:marker>
            <c:symbol val="none"/>
          </c:marker>
          <c:cat>
            <c:numRef>
              <c:f>'Revenue Build'!$B$4:$J$4</c:f>
              <c:numCache>
                <c:formatCode>General</c:formatCode>
                <c:ptCount val="9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</c:numCache>
            </c:numRef>
          </c:cat>
          <c:val>
            <c:numRef>
              <c:f>'Revenue Build'!$B$5:$J$5</c:f>
              <c:numCache>
                <c:formatCode>\$#,##0</c:formatCode>
                <c:ptCount val="9"/>
                <c:pt idx="0">
                  <c:v>10</c:v>
                </c:pt>
                <c:pt idx="1">
                  <c:v>15</c:v>
                </c:pt>
                <c:pt idx="2">
                  <c:v>95</c:v>
                </c:pt>
                <c:pt idx="3">
                  <c:v>300</c:v>
                </c:pt>
                <c:pt idx="4">
                  <c:v>500</c:v>
                </c:pt>
                <c:pt idx="5">
                  <c:v>700</c:v>
                </c:pt>
                <c:pt idx="6">
                  <c:v>880</c:v>
                </c:pt>
                <c:pt idx="7">
                  <c:v>1050</c:v>
                </c:pt>
                <c:pt idx="8">
                  <c:v>1200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DE7-42D8-A088-AF2BB57A27F4}"/>
            </c:ext>
          </c:extLst>
        </c:ser>
        <c:ser>
          <c:idx val="1"/>
          <c:order val="1"/>
          <c:spPr>
            <a:ln w="22000">
              <a:solidFill>
                <a:srgbClr val="FF764D"/>
              </a:solidFill>
              <a:prstDash val="solid"/>
            </a:ln>
          </c:spPr>
          <c:marker>
            <c:symbol val="none"/>
          </c:marker>
          <c:cat>
            <c:numRef>
              <c:f>'Revenue Build'!$B$4:$J$4</c:f>
              <c:numCache>
                <c:formatCode>General</c:formatCode>
                <c:ptCount val="9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</c:numCache>
            </c:numRef>
          </c:cat>
          <c:val>
            <c:numRef>
              <c:f>'Revenue Build'!$B$6:$J$6</c:f>
              <c:numCache>
                <c:formatCode>\$#,##0</c:formatCode>
                <c:ptCount val="9"/>
                <c:pt idx="0">
                  <c:v>3</c:v>
                </c:pt>
                <c:pt idx="1">
                  <c:v>6</c:v>
                </c:pt>
                <c:pt idx="2">
                  <c:v>35</c:v>
                </c:pt>
                <c:pt idx="3">
                  <c:v>160</c:v>
                </c:pt>
                <c:pt idx="4">
                  <c:v>360</c:v>
                </c:pt>
                <c:pt idx="5">
                  <c:v>650</c:v>
                </c:pt>
                <c:pt idx="6">
                  <c:v>950</c:v>
                </c:pt>
                <c:pt idx="7">
                  <c:v>1300</c:v>
                </c:pt>
                <c:pt idx="8">
                  <c:v>1650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DE7-42D8-A088-AF2BB57A27F4}"/>
            </c:ext>
          </c:extLst>
        </c:ser>
        <c:ser>
          <c:idx val="2"/>
          <c:order val="2"/>
          <c:spPr>
            <a:ln w="22000">
              <a:solidFill>
                <a:srgbClr val="D95A2B"/>
              </a:solidFill>
              <a:prstDash val="solid"/>
            </a:ln>
          </c:spPr>
          <c:marker>
            <c:symbol val="none"/>
          </c:marker>
          <c:cat>
            <c:numRef>
              <c:f>'Revenue Build'!$B$4:$J$4</c:f>
              <c:numCache>
                <c:formatCode>General</c:formatCode>
                <c:ptCount val="9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</c:numCache>
            </c:numRef>
          </c:cat>
          <c:val>
            <c:numRef>
              <c:f>'Revenue Build'!$B$7:$J$7</c:f>
              <c:numCache>
                <c:formatCode>\$#,##0</c:formatCode>
                <c:ptCount val="9"/>
                <c:pt idx="0">
                  <c:v>3</c:v>
                </c:pt>
                <c:pt idx="1">
                  <c:v>7</c:v>
                </c:pt>
                <c:pt idx="2">
                  <c:v>40</c:v>
                </c:pt>
                <c:pt idx="3">
                  <c:v>190</c:v>
                </c:pt>
                <c:pt idx="4">
                  <c:v>380</c:v>
                </c:pt>
                <c:pt idx="5">
                  <c:v>700</c:v>
                </c:pt>
                <c:pt idx="6">
                  <c:v>1170</c:v>
                </c:pt>
                <c:pt idx="7">
                  <c:v>1750</c:v>
                </c:pt>
                <c:pt idx="8">
                  <c:v>2400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DE7-42D8-A088-AF2BB57A2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$M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Revenue scenarios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w="22000">
              <a:solidFill>
                <a:srgbClr val="B83200"/>
              </a:solidFill>
              <a:prstDash val="solid"/>
            </a:ln>
          </c:spPr>
          <c:marker>
            <c:symbol val="none"/>
          </c:marker>
          <c:cat>
            <c:numRef>
              <c:f>Scenarios!$C$4:$H$4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Scenarios!$C$5:$H$5</c:f>
              <c:numCache>
                <c:formatCode>\$#,##0</c:formatCode>
                <c:ptCount val="6"/>
                <c:pt idx="0">
                  <c:v>650</c:v>
                </c:pt>
                <c:pt idx="1">
                  <c:v>1016.8</c:v>
                </c:pt>
                <c:pt idx="2">
                  <c:v>1496.5</c:v>
                </c:pt>
                <c:pt idx="3">
                  <c:v>2040</c:v>
                </c:pt>
                <c:pt idx="4">
                  <c:v>2706</c:v>
                </c:pt>
                <c:pt idx="5">
                  <c:v>3412.5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2B5-4B1B-B7C2-33FB19612977}"/>
            </c:ext>
          </c:extLst>
        </c:ser>
        <c:ser>
          <c:idx val="1"/>
          <c:order val="1"/>
          <c:spPr>
            <a:ln w="22000">
              <a:solidFill>
                <a:srgbClr val="FF3C00"/>
              </a:solidFill>
              <a:prstDash val="solid"/>
            </a:ln>
          </c:spPr>
          <c:marker>
            <c:symbol val="none"/>
          </c:marker>
          <c:cat>
            <c:numRef>
              <c:f>Scenarios!$C$4:$H$4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Scenarios!$C$9:$H$9</c:f>
              <c:numCache>
                <c:formatCode>\$#,##0</c:formatCode>
                <c:ptCount val="6"/>
                <c:pt idx="0">
                  <c:v>650</c:v>
                </c:pt>
                <c:pt idx="1">
                  <c:v>1240</c:v>
                </c:pt>
                <c:pt idx="2">
                  <c:v>2050</c:v>
                </c:pt>
                <c:pt idx="3">
                  <c:v>3000</c:v>
                </c:pt>
                <c:pt idx="4">
                  <c:v>4100</c:v>
                </c:pt>
                <c:pt idx="5">
                  <c:v>5250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2B5-4B1B-B7C2-33FB19612977}"/>
            </c:ext>
          </c:extLst>
        </c:ser>
        <c:ser>
          <c:idx val="2"/>
          <c:order val="2"/>
          <c:spPr>
            <a:ln w="22000">
              <a:solidFill>
                <a:srgbClr val="D95A2B"/>
              </a:solidFill>
              <a:prstDash val="solid"/>
            </a:ln>
          </c:spPr>
          <c:marker>
            <c:symbol val="none"/>
          </c:marker>
          <c:cat>
            <c:numRef>
              <c:f>Scenarios!$C$4:$H$4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Scenarios!$C$13:$H$13</c:f>
              <c:numCache>
                <c:formatCode>\$#,##0</c:formatCode>
                <c:ptCount val="6"/>
                <c:pt idx="0">
                  <c:v>650</c:v>
                </c:pt>
                <c:pt idx="1">
                  <c:v>1388.8</c:v>
                </c:pt>
                <c:pt idx="2">
                  <c:v>2501</c:v>
                </c:pt>
                <c:pt idx="3">
                  <c:v>3900</c:v>
                </c:pt>
                <c:pt idx="4">
                  <c:v>5576</c:v>
                </c:pt>
                <c:pt idx="5">
                  <c:v>7349.9999999999991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2B5-4B1B-B7C2-33FB19612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$M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6429375" cy="3238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</xdr:row>
      <xdr:rowOff>0</xdr:rowOff>
    </xdr:from>
    <xdr:ext cx="6429375" cy="27146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12954000" cy="4572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replit.com/blog/author/amjad-masad" TargetMode="External"/><Relationship Id="rId18" Type="http://schemas.openxmlformats.org/officeDocument/2006/relationships/hyperlink" Target="https://evansdata.com/press/viewRelease.php?pressID=365" TargetMode="External"/><Relationship Id="rId26" Type="http://schemas.openxmlformats.org/officeDocument/2006/relationships/hyperlink" Target="https://www.anthropic.com/news/anthropic-acquires-bun-as-claude-code-reaches-usd1b-milestone" TargetMode="External"/><Relationship Id="rId3" Type="http://schemas.openxmlformats.org/officeDocument/2006/relationships/hyperlink" Target="https://replit.com/blog/introducing-agent-4-built-for-creativity" TargetMode="External"/><Relationship Id="rId21" Type="http://schemas.openxmlformats.org/officeDocument/2006/relationships/hyperlink" Target="https://www.microsoft.com/en-us/worklab/work-trend-index/ai-at-work-is-here-now-comes-the-hard-part" TargetMode="External"/><Relationship Id="rId34" Type="http://schemas.openxmlformats.org/officeDocument/2006/relationships/hyperlink" Target="https://stockanalysis.com/stocks/team/statistics/" TargetMode="External"/><Relationship Id="rId7" Type="http://schemas.openxmlformats.org/officeDocument/2006/relationships/hyperlink" Target="https://docs.replit.com/teams/information-security/overview" TargetMode="External"/><Relationship Id="rId12" Type="http://schemas.openxmlformats.org/officeDocument/2006/relationships/hyperlink" Target="https://replit.com/partners/microsoft" TargetMode="External"/><Relationship Id="rId17" Type="http://schemas.openxmlformats.org/officeDocument/2006/relationships/hyperlink" Target="https://github.blog/news-insights/octoverse/" TargetMode="External"/><Relationship Id="rId25" Type="http://schemas.openxmlformats.org/officeDocument/2006/relationships/hyperlink" Target="https://cursor.com/blog/series-d" TargetMode="External"/><Relationship Id="rId33" Type="http://schemas.openxmlformats.org/officeDocument/2006/relationships/hyperlink" Target="https://stockanalysis.com/stocks/msft/statistics/" TargetMode="External"/><Relationship Id="rId2" Type="http://schemas.openxmlformats.org/officeDocument/2006/relationships/hyperlink" Target="https://replit.com/news/funding-announcement-series-c" TargetMode="External"/><Relationship Id="rId16" Type="http://schemas.openxmlformats.org/officeDocument/2006/relationships/hyperlink" Target="https://sacra.com/research/replit-at-253m-arr-growing-2352-yoy/" TargetMode="External"/><Relationship Id="rId20" Type="http://schemas.openxmlformats.org/officeDocument/2006/relationships/hyperlink" Target="https://my.idc.com/getdoc.jsp?containerId=US53782225" TargetMode="External"/><Relationship Id="rId29" Type="http://schemas.openxmlformats.org/officeDocument/2006/relationships/hyperlink" Target="https://cognition.com/blog/windsurf" TargetMode="External"/><Relationship Id="rId1" Type="http://schemas.openxmlformats.org/officeDocument/2006/relationships/hyperlink" Target="https://replit.com/blog/replit-raises-400-million-dollars" TargetMode="External"/><Relationship Id="rId6" Type="http://schemas.openxmlformats.org/officeDocument/2006/relationships/hyperlink" Target="https://docs.replit.com/billing/plans/replit-enterprise" TargetMode="External"/><Relationship Id="rId11" Type="http://schemas.openxmlformats.org/officeDocument/2006/relationships/hyperlink" Target="https://replit.com/partners/google" TargetMode="External"/><Relationship Id="rId24" Type="http://schemas.openxmlformats.org/officeDocument/2006/relationships/hyperlink" Target="https://www.grandviewresearch.com/industry-analysis/ai-code-tools-market-report" TargetMode="External"/><Relationship Id="rId32" Type="http://schemas.openxmlformats.org/officeDocument/2006/relationships/hyperlink" Target="https://stockanalysis.com/stocks/now/statistics/" TargetMode="External"/><Relationship Id="rId5" Type="http://schemas.openxmlformats.org/officeDocument/2006/relationships/hyperlink" Target="https://replit.com/blog/replit-raises-400-million-dollars" TargetMode="External"/><Relationship Id="rId15" Type="http://schemas.openxmlformats.org/officeDocument/2006/relationships/hyperlink" Target="https://techcrunch.com/2026/03/11/replit-snags-9b-valuation-6-months-after-hitting-3b/" TargetMode="External"/><Relationship Id="rId23" Type="http://schemas.openxmlformats.org/officeDocument/2006/relationships/hyperlink" Target="https://www.gartner.com/en/newsroom/press-releases/2024-11-19-gartner-forecasts-worldwide-public-cloud-end-user-spending-to-total-723-billion-dollars-in-2025" TargetMode="External"/><Relationship Id="rId28" Type="http://schemas.openxmlformats.org/officeDocument/2006/relationships/hyperlink" Target="https://www.microsoft.com/en-us/investor/events/fy-2025/earnings-fy-2025-q4" TargetMode="External"/><Relationship Id="rId36" Type="http://schemas.openxmlformats.org/officeDocument/2006/relationships/hyperlink" Target="https://stockanalysis.com/stocks/net/statistics/" TargetMode="External"/><Relationship Id="rId10" Type="http://schemas.openxmlformats.org/officeDocument/2006/relationships/hyperlink" Target="https://replit.com/pricing" TargetMode="External"/><Relationship Id="rId19" Type="http://schemas.openxmlformats.org/officeDocument/2006/relationships/hyperlink" Target="https://my.idc.com/getdoc.jsp?containerId=US53592125" TargetMode="External"/><Relationship Id="rId31" Type="http://schemas.openxmlformats.org/officeDocument/2006/relationships/hyperlink" Target="https://stockanalysis.com/stocks/crm/statistics/" TargetMode="External"/><Relationship Id="rId4" Type="http://schemas.openxmlformats.org/officeDocument/2006/relationships/hyperlink" Target="https://replit.com/enterprise" TargetMode="External"/><Relationship Id="rId9" Type="http://schemas.openxmlformats.org/officeDocument/2006/relationships/hyperlink" Target="https://replit.com/blog/meet-replit-security-agent" TargetMode="External"/><Relationship Id="rId14" Type="http://schemas.openxmlformats.org/officeDocument/2006/relationships/hyperlink" Target="https://replit.com/brand" TargetMode="External"/><Relationship Id="rId22" Type="http://schemas.openxmlformats.org/officeDocument/2006/relationships/hyperlink" Target="https://www.gartner.com/en/newsroom/press-releases/2024-04-11-gartner-says-75-percent-of-enterprise-software-engineers-will-use-ai-code-assistants-by-2028" TargetMode="External"/><Relationship Id="rId27" Type="http://schemas.openxmlformats.org/officeDocument/2006/relationships/hyperlink" Target="https://lovable.dev/blog/series-b" TargetMode="External"/><Relationship Id="rId30" Type="http://schemas.openxmlformats.org/officeDocument/2006/relationships/hyperlink" Target="https://v0.app/docs.md" TargetMode="External"/><Relationship Id="rId35" Type="http://schemas.openxmlformats.org/officeDocument/2006/relationships/hyperlink" Target="https://stockanalysis.com/stocks/gtlb/statistics/" TargetMode="External"/><Relationship Id="rId8" Type="http://schemas.openxmlformats.org/officeDocument/2006/relationships/hyperlink" Target="https://replit.com/blog/2025-replit-in-review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replit.com/blog/replit-raises-400-million-dollars" TargetMode="External"/><Relationship Id="rId18" Type="http://schemas.openxmlformats.org/officeDocument/2006/relationships/hyperlink" Target="https://docs.replit.com/billing/plans/replit-enterprise" TargetMode="External"/><Relationship Id="rId26" Type="http://schemas.openxmlformats.org/officeDocument/2006/relationships/hyperlink" Target="https://replit.com/pricing" TargetMode="External"/><Relationship Id="rId39" Type="http://schemas.openxmlformats.org/officeDocument/2006/relationships/hyperlink" Target="https://www.gartner.com/en/newsroom/press-releases/2024-04-11-gartner-says-75-percent-of-enterprise-software-engineers-will-use-ai-code-assistants-by-2028" TargetMode="External"/><Relationship Id="rId21" Type="http://schemas.openxmlformats.org/officeDocument/2006/relationships/hyperlink" Target="https://docs.replit.com/teams/information-security/overview" TargetMode="External"/><Relationship Id="rId34" Type="http://schemas.openxmlformats.org/officeDocument/2006/relationships/hyperlink" Target="https://github.blog/news-insights/octoverse/" TargetMode="External"/><Relationship Id="rId42" Type="http://schemas.openxmlformats.org/officeDocument/2006/relationships/hyperlink" Target="https://www.grandviewresearch.com/industry-analysis/ai-code-tools-market-report" TargetMode="External"/><Relationship Id="rId47" Type="http://schemas.openxmlformats.org/officeDocument/2006/relationships/hyperlink" Target="https://lovable.dev/blog/series-b" TargetMode="External"/><Relationship Id="rId50" Type="http://schemas.openxmlformats.org/officeDocument/2006/relationships/hyperlink" Target="https://v0.app/docs.md" TargetMode="External"/><Relationship Id="rId55" Type="http://schemas.openxmlformats.org/officeDocument/2006/relationships/hyperlink" Target="https://stockanalysis.com/stocks/gtlb/statistics/" TargetMode="External"/><Relationship Id="rId7" Type="http://schemas.openxmlformats.org/officeDocument/2006/relationships/hyperlink" Target="https://replit.com/news/funding-announcement-series-c" TargetMode="External"/><Relationship Id="rId2" Type="http://schemas.openxmlformats.org/officeDocument/2006/relationships/hyperlink" Target="https://replit.com/blog/replit-raises-400-million-dollars" TargetMode="External"/><Relationship Id="rId16" Type="http://schemas.openxmlformats.org/officeDocument/2006/relationships/hyperlink" Target="https://docs.replit.com/billing/plans/replit-enterprise" TargetMode="External"/><Relationship Id="rId29" Type="http://schemas.openxmlformats.org/officeDocument/2006/relationships/hyperlink" Target="https://replit.com/partners/microsoft" TargetMode="External"/><Relationship Id="rId11" Type="http://schemas.openxmlformats.org/officeDocument/2006/relationships/hyperlink" Target="https://replit.com/enterprise" TargetMode="External"/><Relationship Id="rId24" Type="http://schemas.openxmlformats.org/officeDocument/2006/relationships/hyperlink" Target="https://replit.com/blog/2025-replit-in-review" TargetMode="External"/><Relationship Id="rId32" Type="http://schemas.openxmlformats.org/officeDocument/2006/relationships/hyperlink" Target="https://techcrunch.com/2026/03/11/replit-snags-9b-valuation-6-months-after-hitting-3b/" TargetMode="External"/><Relationship Id="rId37" Type="http://schemas.openxmlformats.org/officeDocument/2006/relationships/hyperlink" Target="https://my.idc.com/getdoc.jsp?containerId=US53782225" TargetMode="External"/><Relationship Id="rId40" Type="http://schemas.openxmlformats.org/officeDocument/2006/relationships/hyperlink" Target="https://www.gartner.com/en/newsroom/press-releases/2024-04-11-gartner-says-75-percent-of-enterprise-software-engineers-will-use-ai-code-assistants-by-2028" TargetMode="External"/><Relationship Id="rId45" Type="http://schemas.openxmlformats.org/officeDocument/2006/relationships/hyperlink" Target="https://www.anthropic.com/news/anthropic-acquires-bun-as-claude-code-reaches-usd1b-milestone" TargetMode="External"/><Relationship Id="rId53" Type="http://schemas.openxmlformats.org/officeDocument/2006/relationships/hyperlink" Target="https://stockanalysis.com/stocks/msft/statistics/" TargetMode="External"/><Relationship Id="rId5" Type="http://schemas.openxmlformats.org/officeDocument/2006/relationships/hyperlink" Target="https://replit.com/blog/replit-raises-400-million-dollars" TargetMode="External"/><Relationship Id="rId10" Type="http://schemas.openxmlformats.org/officeDocument/2006/relationships/hyperlink" Target="https://replit.com/blog/introducing-agent-4-built-for-creativity" TargetMode="External"/><Relationship Id="rId19" Type="http://schemas.openxmlformats.org/officeDocument/2006/relationships/hyperlink" Target="https://docs.replit.com/teams/information-security/overview" TargetMode="External"/><Relationship Id="rId31" Type="http://schemas.openxmlformats.org/officeDocument/2006/relationships/hyperlink" Target="https://replit.com/brand" TargetMode="External"/><Relationship Id="rId44" Type="http://schemas.openxmlformats.org/officeDocument/2006/relationships/hyperlink" Target="https://cursor.com/blog/series-d" TargetMode="External"/><Relationship Id="rId52" Type="http://schemas.openxmlformats.org/officeDocument/2006/relationships/hyperlink" Target="https://stockanalysis.com/stocks/now/statistics/" TargetMode="External"/><Relationship Id="rId4" Type="http://schemas.openxmlformats.org/officeDocument/2006/relationships/hyperlink" Target="https://replit.com/blog/replit-raises-400-million-dollars" TargetMode="External"/><Relationship Id="rId9" Type="http://schemas.openxmlformats.org/officeDocument/2006/relationships/hyperlink" Target="https://replit.com/blog/introducing-agent-4-built-for-creativity" TargetMode="External"/><Relationship Id="rId14" Type="http://schemas.openxmlformats.org/officeDocument/2006/relationships/hyperlink" Target="https://replit.com/blog/replit-raises-400-million-dollars" TargetMode="External"/><Relationship Id="rId22" Type="http://schemas.openxmlformats.org/officeDocument/2006/relationships/hyperlink" Target="https://docs.replit.com/teams/information-security/overview" TargetMode="External"/><Relationship Id="rId27" Type="http://schemas.openxmlformats.org/officeDocument/2006/relationships/hyperlink" Target="https://replit.com/pricing" TargetMode="External"/><Relationship Id="rId30" Type="http://schemas.openxmlformats.org/officeDocument/2006/relationships/hyperlink" Target="https://replit.com/blog/author/amjad-masad" TargetMode="External"/><Relationship Id="rId35" Type="http://schemas.openxmlformats.org/officeDocument/2006/relationships/hyperlink" Target="https://evansdata.com/press/viewRelease.php?pressID=365" TargetMode="External"/><Relationship Id="rId43" Type="http://schemas.openxmlformats.org/officeDocument/2006/relationships/hyperlink" Target="https://cursor.com/blog/series-d" TargetMode="External"/><Relationship Id="rId48" Type="http://schemas.openxmlformats.org/officeDocument/2006/relationships/hyperlink" Target="https://www.microsoft.com/en-us/investor/events/fy-2025/earnings-fy-2025-q4" TargetMode="External"/><Relationship Id="rId56" Type="http://schemas.openxmlformats.org/officeDocument/2006/relationships/hyperlink" Target="https://stockanalysis.com/stocks/net/statistics/" TargetMode="External"/><Relationship Id="rId8" Type="http://schemas.openxmlformats.org/officeDocument/2006/relationships/hyperlink" Target="https://replit.com/blog/introducing-agent-4-built-for-creativity" TargetMode="External"/><Relationship Id="rId51" Type="http://schemas.openxmlformats.org/officeDocument/2006/relationships/hyperlink" Target="https://stockanalysis.com/stocks/crm/statistics/" TargetMode="External"/><Relationship Id="rId3" Type="http://schemas.openxmlformats.org/officeDocument/2006/relationships/hyperlink" Target="https://replit.com/blog/replit-raises-400-million-dollars" TargetMode="External"/><Relationship Id="rId12" Type="http://schemas.openxmlformats.org/officeDocument/2006/relationships/hyperlink" Target="https://replit.com/blog/replit-raises-400-million-dollars" TargetMode="External"/><Relationship Id="rId17" Type="http://schemas.openxmlformats.org/officeDocument/2006/relationships/hyperlink" Target="https://docs.replit.com/billing/plans/replit-enterprise" TargetMode="External"/><Relationship Id="rId25" Type="http://schemas.openxmlformats.org/officeDocument/2006/relationships/hyperlink" Target="https://replit.com/blog/meet-replit-security-agent" TargetMode="External"/><Relationship Id="rId33" Type="http://schemas.openxmlformats.org/officeDocument/2006/relationships/hyperlink" Target="https://sacra.com/research/replit-at-253m-arr-growing-2352-yoy/" TargetMode="External"/><Relationship Id="rId38" Type="http://schemas.openxmlformats.org/officeDocument/2006/relationships/hyperlink" Target="https://www.microsoft.com/en-us/worklab/work-trend-index/ai-at-work-is-here-now-comes-the-hard-part" TargetMode="External"/><Relationship Id="rId46" Type="http://schemas.openxmlformats.org/officeDocument/2006/relationships/hyperlink" Target="https://lovable.dev/blog/series-b" TargetMode="External"/><Relationship Id="rId20" Type="http://schemas.openxmlformats.org/officeDocument/2006/relationships/hyperlink" Target="https://docs.replit.com/teams/information-security/overview" TargetMode="External"/><Relationship Id="rId41" Type="http://schemas.openxmlformats.org/officeDocument/2006/relationships/hyperlink" Target="https://www.gartner.com/en/newsroom/press-releases/2024-11-19-gartner-forecasts-worldwide-public-cloud-end-user-spending-to-total-723-billion-dollars-in-2025" TargetMode="External"/><Relationship Id="rId54" Type="http://schemas.openxmlformats.org/officeDocument/2006/relationships/hyperlink" Target="https://stockanalysis.com/stocks/team/statistics/" TargetMode="External"/><Relationship Id="rId1" Type="http://schemas.openxmlformats.org/officeDocument/2006/relationships/hyperlink" Target="https://replit.com/blog/replit-raises-400-million-dollars" TargetMode="External"/><Relationship Id="rId6" Type="http://schemas.openxmlformats.org/officeDocument/2006/relationships/hyperlink" Target="https://replit.com/blog/replit-raises-400-million-dollars" TargetMode="External"/><Relationship Id="rId15" Type="http://schemas.openxmlformats.org/officeDocument/2006/relationships/hyperlink" Target="https://docs.replit.com/billing/plans/replit-enterprise" TargetMode="External"/><Relationship Id="rId23" Type="http://schemas.openxmlformats.org/officeDocument/2006/relationships/hyperlink" Target="https://replit.com/blog/2025-replit-in-review" TargetMode="External"/><Relationship Id="rId28" Type="http://schemas.openxmlformats.org/officeDocument/2006/relationships/hyperlink" Target="https://replit.com/partners/google" TargetMode="External"/><Relationship Id="rId36" Type="http://schemas.openxmlformats.org/officeDocument/2006/relationships/hyperlink" Target="https://my.idc.com/getdoc.jsp?containerId=US53592125" TargetMode="External"/><Relationship Id="rId49" Type="http://schemas.openxmlformats.org/officeDocument/2006/relationships/hyperlink" Target="https://cognition.com/blog/windsurf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12"/>
  <sheetViews>
    <sheetView showGridLines="0" tabSelected="1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58" customWidth="1"/>
    <col min="2" max="2" width="22" customWidth="1"/>
    <col min="3" max="3" width="14" customWidth="1"/>
    <col min="4" max="4" width="44" customWidth="1"/>
  </cols>
  <sheetData>
    <row r="1" spans="1:4" ht="25" x14ac:dyDescent="0.5">
      <c r="A1" s="1" t="s">
        <v>0</v>
      </c>
    </row>
    <row r="2" spans="1:4" x14ac:dyDescent="0.35">
      <c r="A2" s="2" t="s">
        <v>1</v>
      </c>
    </row>
    <row r="4" spans="1:4" ht="22" customHeight="1" x14ac:dyDescent="0.3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35">
      <c r="A5" s="4" t="s">
        <v>6</v>
      </c>
      <c r="B5" s="4" t="s">
        <v>7</v>
      </c>
      <c r="C5" s="4" t="s">
        <v>8</v>
      </c>
      <c r="D5" s="4" t="s">
        <v>9</v>
      </c>
    </row>
    <row r="6" spans="1:4" x14ac:dyDescent="0.35">
      <c r="A6" s="4" t="s">
        <v>10</v>
      </c>
      <c r="B6" s="4" t="s">
        <v>11</v>
      </c>
      <c r="C6" s="4" t="s">
        <v>8</v>
      </c>
      <c r="D6" s="4" t="s">
        <v>9</v>
      </c>
    </row>
    <row r="7" spans="1:4" x14ac:dyDescent="0.35">
      <c r="A7" s="4" t="s">
        <v>12</v>
      </c>
      <c r="B7" s="4" t="s">
        <v>13</v>
      </c>
      <c r="C7" s="4" t="s">
        <v>8</v>
      </c>
      <c r="D7" s="4" t="s">
        <v>9</v>
      </c>
    </row>
    <row r="8" spans="1:4" x14ac:dyDescent="0.35">
      <c r="A8" s="4" t="s">
        <v>14</v>
      </c>
      <c r="B8" s="4" t="s">
        <v>15</v>
      </c>
      <c r="C8" s="4" t="s">
        <v>8</v>
      </c>
      <c r="D8" s="4" t="s">
        <v>9</v>
      </c>
    </row>
    <row r="9" spans="1:4" x14ac:dyDescent="0.35">
      <c r="A9" s="4" t="s">
        <v>16</v>
      </c>
      <c r="B9" s="4" t="s">
        <v>17</v>
      </c>
      <c r="C9" s="4" t="s">
        <v>8</v>
      </c>
      <c r="D9" s="4" t="s">
        <v>9</v>
      </c>
    </row>
    <row r="10" spans="1:4" x14ac:dyDescent="0.35">
      <c r="A10" s="4" t="s">
        <v>18</v>
      </c>
      <c r="B10" s="4" t="s">
        <v>19</v>
      </c>
      <c r="C10" s="4" t="s">
        <v>8</v>
      </c>
      <c r="D10" s="4" t="s">
        <v>9</v>
      </c>
    </row>
    <row r="11" spans="1:4" x14ac:dyDescent="0.35">
      <c r="A11" s="4" t="s">
        <v>20</v>
      </c>
      <c r="B11" s="4" t="s">
        <v>21</v>
      </c>
      <c r="C11" s="4" t="s">
        <v>8</v>
      </c>
      <c r="D11" s="4" t="s">
        <v>9</v>
      </c>
    </row>
    <row r="12" spans="1:4" x14ac:dyDescent="0.35">
      <c r="A12" s="4" t="s">
        <v>22</v>
      </c>
      <c r="B12" s="4">
        <v>1000</v>
      </c>
      <c r="C12" s="4" t="s">
        <v>23</v>
      </c>
      <c r="D12" s="4" t="s">
        <v>9</v>
      </c>
    </row>
    <row r="13" spans="1:4" x14ac:dyDescent="0.35">
      <c r="A13" s="4" t="s">
        <v>24</v>
      </c>
      <c r="B13" s="4">
        <v>800</v>
      </c>
      <c r="C13" s="4" t="s">
        <v>23</v>
      </c>
      <c r="D13" s="4" t="s">
        <v>9</v>
      </c>
    </row>
    <row r="14" spans="1:4" x14ac:dyDescent="0.35">
      <c r="A14" s="4" t="s">
        <v>25</v>
      </c>
      <c r="B14" s="4">
        <v>200</v>
      </c>
      <c r="C14" s="4" t="s">
        <v>23</v>
      </c>
      <c r="D14" s="4" t="s">
        <v>9</v>
      </c>
    </row>
    <row r="15" spans="1:4" x14ac:dyDescent="0.35">
      <c r="A15" s="4" t="s">
        <v>26</v>
      </c>
      <c r="B15" s="4">
        <v>20000</v>
      </c>
      <c r="C15" s="4" t="s">
        <v>23</v>
      </c>
      <c r="D15" s="4" t="s">
        <v>9</v>
      </c>
    </row>
    <row r="16" spans="1:4" x14ac:dyDescent="0.35">
      <c r="A16" s="4" t="s">
        <v>27</v>
      </c>
      <c r="B16" s="4">
        <v>400</v>
      </c>
      <c r="C16" s="4" t="s">
        <v>23</v>
      </c>
      <c r="D16" s="4" t="s">
        <v>9</v>
      </c>
    </row>
    <row r="17" spans="1:4" x14ac:dyDescent="0.35">
      <c r="A17" s="4" t="s">
        <v>28</v>
      </c>
      <c r="B17" s="4">
        <v>9000</v>
      </c>
      <c r="C17" s="4" t="s">
        <v>23</v>
      </c>
      <c r="D17" s="4" t="s">
        <v>9</v>
      </c>
    </row>
    <row r="18" spans="1:4" x14ac:dyDescent="0.35">
      <c r="A18" s="4" t="s">
        <v>29</v>
      </c>
      <c r="B18" s="4" t="s">
        <v>30</v>
      </c>
      <c r="C18" s="4" t="s">
        <v>8</v>
      </c>
      <c r="D18" s="4" t="s">
        <v>9</v>
      </c>
    </row>
    <row r="19" spans="1:4" x14ac:dyDescent="0.35">
      <c r="A19" s="4" t="s">
        <v>31</v>
      </c>
      <c r="B19" s="4">
        <v>2023</v>
      </c>
      <c r="C19" s="4" t="s">
        <v>23</v>
      </c>
      <c r="D19" s="4" t="s">
        <v>9</v>
      </c>
    </row>
    <row r="20" spans="1:4" x14ac:dyDescent="0.35">
      <c r="A20" s="4" t="s">
        <v>32</v>
      </c>
      <c r="B20" s="4">
        <v>2024</v>
      </c>
      <c r="C20" s="4" t="s">
        <v>23</v>
      </c>
      <c r="D20" s="4" t="s">
        <v>9</v>
      </c>
    </row>
    <row r="21" spans="1:4" x14ac:dyDescent="0.35">
      <c r="A21" s="4" t="s">
        <v>33</v>
      </c>
      <c r="B21" s="4">
        <v>2025</v>
      </c>
      <c r="C21" s="4" t="s">
        <v>23</v>
      </c>
      <c r="D21" s="4" t="s">
        <v>9</v>
      </c>
    </row>
    <row r="22" spans="1:4" x14ac:dyDescent="0.35">
      <c r="A22" s="4" t="s">
        <v>34</v>
      </c>
      <c r="B22" s="4">
        <v>2026</v>
      </c>
      <c r="C22" s="4" t="s">
        <v>23</v>
      </c>
      <c r="D22" s="4" t="s">
        <v>9</v>
      </c>
    </row>
    <row r="23" spans="1:4" x14ac:dyDescent="0.35">
      <c r="A23" s="4" t="s">
        <v>35</v>
      </c>
      <c r="B23" s="4">
        <v>2027</v>
      </c>
      <c r="C23" s="4" t="s">
        <v>23</v>
      </c>
      <c r="D23" s="4" t="s">
        <v>9</v>
      </c>
    </row>
    <row r="24" spans="1:4" x14ac:dyDescent="0.35">
      <c r="A24" s="4" t="s">
        <v>36</v>
      </c>
      <c r="B24" s="4">
        <v>2028</v>
      </c>
      <c r="C24" s="4" t="s">
        <v>23</v>
      </c>
      <c r="D24" s="4" t="s">
        <v>9</v>
      </c>
    </row>
    <row r="25" spans="1:4" x14ac:dyDescent="0.35">
      <c r="A25" s="4" t="s">
        <v>37</v>
      </c>
      <c r="B25" s="4">
        <v>2029</v>
      </c>
      <c r="C25" s="4" t="s">
        <v>23</v>
      </c>
      <c r="D25" s="4" t="s">
        <v>9</v>
      </c>
    </row>
    <row r="26" spans="1:4" x14ac:dyDescent="0.35">
      <c r="A26" s="4" t="s">
        <v>38</v>
      </c>
      <c r="B26" s="4">
        <v>2030</v>
      </c>
      <c r="C26" s="4" t="s">
        <v>23</v>
      </c>
      <c r="D26" s="4" t="s">
        <v>9</v>
      </c>
    </row>
    <row r="27" spans="1:4" x14ac:dyDescent="0.35">
      <c r="A27" s="4" t="s">
        <v>39</v>
      </c>
      <c r="B27" s="4">
        <v>2031</v>
      </c>
      <c r="C27" s="4" t="s">
        <v>23</v>
      </c>
      <c r="D27" s="4" t="s">
        <v>9</v>
      </c>
    </row>
    <row r="28" spans="1:4" x14ac:dyDescent="0.35">
      <c r="A28" s="4" t="s">
        <v>40</v>
      </c>
      <c r="B28" s="4">
        <v>10</v>
      </c>
      <c r="C28" s="4" t="s">
        <v>23</v>
      </c>
      <c r="D28" s="4" t="s">
        <v>9</v>
      </c>
    </row>
    <row r="29" spans="1:4" x14ac:dyDescent="0.35">
      <c r="A29" s="4" t="s">
        <v>41</v>
      </c>
      <c r="B29" s="4">
        <v>15</v>
      </c>
      <c r="C29" s="4" t="s">
        <v>23</v>
      </c>
      <c r="D29" s="4" t="s">
        <v>9</v>
      </c>
    </row>
    <row r="30" spans="1:4" x14ac:dyDescent="0.35">
      <c r="A30" s="4" t="s">
        <v>42</v>
      </c>
      <c r="B30" s="4">
        <v>95</v>
      </c>
      <c r="C30" s="4" t="s">
        <v>23</v>
      </c>
      <c r="D30" s="4" t="s">
        <v>9</v>
      </c>
    </row>
    <row r="31" spans="1:4" x14ac:dyDescent="0.35">
      <c r="A31" s="4" t="s">
        <v>43</v>
      </c>
      <c r="B31" s="4">
        <v>300</v>
      </c>
      <c r="C31" s="4" t="s">
        <v>23</v>
      </c>
      <c r="D31" s="4" t="s">
        <v>9</v>
      </c>
    </row>
    <row r="32" spans="1:4" x14ac:dyDescent="0.35">
      <c r="A32" s="4" t="s">
        <v>44</v>
      </c>
      <c r="B32" s="4">
        <v>500</v>
      </c>
      <c r="C32" s="4" t="s">
        <v>23</v>
      </c>
      <c r="D32" s="4" t="s">
        <v>9</v>
      </c>
    </row>
    <row r="33" spans="1:4" x14ac:dyDescent="0.35">
      <c r="A33" s="4" t="s">
        <v>45</v>
      </c>
      <c r="B33" s="4">
        <v>700</v>
      </c>
      <c r="C33" s="4" t="s">
        <v>23</v>
      </c>
      <c r="D33" s="4" t="s">
        <v>9</v>
      </c>
    </row>
    <row r="34" spans="1:4" x14ac:dyDescent="0.35">
      <c r="A34" s="4" t="s">
        <v>46</v>
      </c>
      <c r="B34" s="4">
        <v>880</v>
      </c>
      <c r="C34" s="4" t="s">
        <v>23</v>
      </c>
      <c r="D34" s="4" t="s">
        <v>9</v>
      </c>
    </row>
    <row r="35" spans="1:4" x14ac:dyDescent="0.35">
      <c r="A35" s="4" t="s">
        <v>47</v>
      </c>
      <c r="B35" s="4">
        <v>1050</v>
      </c>
      <c r="C35" s="4" t="s">
        <v>23</v>
      </c>
      <c r="D35" s="4" t="s">
        <v>9</v>
      </c>
    </row>
    <row r="36" spans="1:4" x14ac:dyDescent="0.35">
      <c r="A36" s="4" t="s">
        <v>48</v>
      </c>
      <c r="B36" s="4">
        <v>1200</v>
      </c>
      <c r="C36" s="4" t="s">
        <v>23</v>
      </c>
      <c r="D36" s="4" t="s">
        <v>9</v>
      </c>
    </row>
    <row r="37" spans="1:4" x14ac:dyDescent="0.35">
      <c r="A37" s="4" t="s">
        <v>49</v>
      </c>
      <c r="B37" s="4">
        <v>3</v>
      </c>
      <c r="C37" s="4" t="s">
        <v>23</v>
      </c>
      <c r="D37" s="4" t="s">
        <v>9</v>
      </c>
    </row>
    <row r="38" spans="1:4" x14ac:dyDescent="0.35">
      <c r="A38" s="4" t="s">
        <v>50</v>
      </c>
      <c r="B38" s="4">
        <v>6</v>
      </c>
      <c r="C38" s="4" t="s">
        <v>23</v>
      </c>
      <c r="D38" s="4" t="s">
        <v>9</v>
      </c>
    </row>
    <row r="39" spans="1:4" x14ac:dyDescent="0.35">
      <c r="A39" s="4" t="s">
        <v>51</v>
      </c>
      <c r="B39" s="4">
        <v>35</v>
      </c>
      <c r="C39" s="4" t="s">
        <v>23</v>
      </c>
      <c r="D39" s="4" t="s">
        <v>9</v>
      </c>
    </row>
    <row r="40" spans="1:4" x14ac:dyDescent="0.35">
      <c r="A40" s="4" t="s">
        <v>52</v>
      </c>
      <c r="B40" s="4">
        <v>160</v>
      </c>
      <c r="C40" s="4" t="s">
        <v>23</v>
      </c>
      <c r="D40" s="4" t="s">
        <v>9</v>
      </c>
    </row>
    <row r="41" spans="1:4" x14ac:dyDescent="0.35">
      <c r="A41" s="4" t="s">
        <v>53</v>
      </c>
      <c r="B41" s="4">
        <v>360</v>
      </c>
      <c r="C41" s="4" t="s">
        <v>23</v>
      </c>
      <c r="D41" s="4" t="s">
        <v>9</v>
      </c>
    </row>
    <row r="42" spans="1:4" x14ac:dyDescent="0.35">
      <c r="A42" s="4" t="s">
        <v>54</v>
      </c>
      <c r="B42" s="4">
        <v>650</v>
      </c>
      <c r="C42" s="4" t="s">
        <v>23</v>
      </c>
      <c r="D42" s="4" t="s">
        <v>9</v>
      </c>
    </row>
    <row r="43" spans="1:4" x14ac:dyDescent="0.35">
      <c r="A43" s="4" t="s">
        <v>55</v>
      </c>
      <c r="B43" s="4">
        <v>950</v>
      </c>
      <c r="C43" s="4" t="s">
        <v>23</v>
      </c>
      <c r="D43" s="4" t="s">
        <v>9</v>
      </c>
    </row>
    <row r="44" spans="1:4" x14ac:dyDescent="0.35">
      <c r="A44" s="4" t="s">
        <v>56</v>
      </c>
      <c r="B44" s="4">
        <v>1300</v>
      </c>
      <c r="C44" s="4" t="s">
        <v>23</v>
      </c>
      <c r="D44" s="4" t="s">
        <v>9</v>
      </c>
    </row>
    <row r="45" spans="1:4" x14ac:dyDescent="0.35">
      <c r="A45" s="4" t="s">
        <v>57</v>
      </c>
      <c r="B45" s="4">
        <v>1650</v>
      </c>
      <c r="C45" s="4" t="s">
        <v>23</v>
      </c>
      <c r="D45" s="4" t="s">
        <v>9</v>
      </c>
    </row>
    <row r="46" spans="1:4" x14ac:dyDescent="0.35">
      <c r="A46" s="4" t="s">
        <v>58</v>
      </c>
      <c r="B46" s="4">
        <v>3</v>
      </c>
      <c r="C46" s="4" t="s">
        <v>23</v>
      </c>
      <c r="D46" s="4" t="s">
        <v>9</v>
      </c>
    </row>
    <row r="47" spans="1:4" x14ac:dyDescent="0.35">
      <c r="A47" s="4" t="s">
        <v>59</v>
      </c>
      <c r="B47" s="4">
        <v>7</v>
      </c>
      <c r="C47" s="4" t="s">
        <v>23</v>
      </c>
      <c r="D47" s="4" t="s">
        <v>9</v>
      </c>
    </row>
    <row r="48" spans="1:4" x14ac:dyDescent="0.35">
      <c r="A48" s="4" t="s">
        <v>60</v>
      </c>
      <c r="B48" s="4">
        <v>40</v>
      </c>
      <c r="C48" s="4" t="s">
        <v>23</v>
      </c>
      <c r="D48" s="4" t="s">
        <v>9</v>
      </c>
    </row>
    <row r="49" spans="1:4" x14ac:dyDescent="0.35">
      <c r="A49" s="4" t="s">
        <v>61</v>
      </c>
      <c r="B49" s="4">
        <v>190</v>
      </c>
      <c r="C49" s="4" t="s">
        <v>23</v>
      </c>
      <c r="D49" s="4" t="s">
        <v>9</v>
      </c>
    </row>
    <row r="50" spans="1:4" x14ac:dyDescent="0.35">
      <c r="A50" s="4" t="s">
        <v>62</v>
      </c>
      <c r="B50" s="4">
        <v>380</v>
      </c>
      <c r="C50" s="4" t="s">
        <v>23</v>
      </c>
      <c r="D50" s="4" t="s">
        <v>9</v>
      </c>
    </row>
    <row r="51" spans="1:4" x14ac:dyDescent="0.35">
      <c r="A51" s="4" t="s">
        <v>63</v>
      </c>
      <c r="B51" s="4">
        <v>700</v>
      </c>
      <c r="C51" s="4" t="s">
        <v>23</v>
      </c>
      <c r="D51" s="4" t="s">
        <v>9</v>
      </c>
    </row>
    <row r="52" spans="1:4" x14ac:dyDescent="0.35">
      <c r="A52" s="4" t="s">
        <v>64</v>
      </c>
      <c r="B52" s="4">
        <v>1170</v>
      </c>
      <c r="C52" s="4" t="s">
        <v>23</v>
      </c>
      <c r="D52" s="4" t="s">
        <v>9</v>
      </c>
    </row>
    <row r="53" spans="1:4" x14ac:dyDescent="0.35">
      <c r="A53" s="4" t="s">
        <v>65</v>
      </c>
      <c r="B53" s="4">
        <v>1750</v>
      </c>
      <c r="C53" s="4" t="s">
        <v>23</v>
      </c>
      <c r="D53" s="4" t="s">
        <v>9</v>
      </c>
    </row>
    <row r="54" spans="1:4" x14ac:dyDescent="0.35">
      <c r="A54" s="4" t="s">
        <v>66</v>
      </c>
      <c r="B54" s="4">
        <v>2400</v>
      </c>
      <c r="C54" s="4" t="s">
        <v>23</v>
      </c>
      <c r="D54" s="4" t="s">
        <v>9</v>
      </c>
    </row>
    <row r="55" spans="1:4" x14ac:dyDescent="0.35">
      <c r="A55" s="4" t="s">
        <v>67</v>
      </c>
      <c r="B55" s="4">
        <v>-0.1</v>
      </c>
      <c r="C55" s="4" t="s">
        <v>23</v>
      </c>
      <c r="D55" s="4" t="s">
        <v>9</v>
      </c>
    </row>
    <row r="56" spans="1:4" x14ac:dyDescent="0.35">
      <c r="A56" s="4" t="s">
        <v>68</v>
      </c>
      <c r="B56" s="4">
        <v>0.05</v>
      </c>
      <c r="C56" s="4" t="s">
        <v>23</v>
      </c>
      <c r="D56" s="4" t="s">
        <v>9</v>
      </c>
    </row>
    <row r="57" spans="1:4" x14ac:dyDescent="0.35">
      <c r="A57" s="4" t="s">
        <v>69</v>
      </c>
      <c r="B57" s="4">
        <v>0.28000000000000003</v>
      </c>
      <c r="C57" s="4" t="s">
        <v>23</v>
      </c>
      <c r="D57" s="4" t="s">
        <v>9</v>
      </c>
    </row>
    <row r="58" spans="1:4" x14ac:dyDescent="0.35">
      <c r="A58" s="4" t="s">
        <v>70</v>
      </c>
      <c r="B58" s="4">
        <v>0.46</v>
      </c>
      <c r="C58" s="4" t="s">
        <v>23</v>
      </c>
      <c r="D58" s="4" t="s">
        <v>9</v>
      </c>
    </row>
    <row r="59" spans="1:4" x14ac:dyDescent="0.35">
      <c r="A59" s="4" t="s">
        <v>71</v>
      </c>
      <c r="B59" s="4">
        <v>0.57999999999999996</v>
      </c>
      <c r="C59" s="4" t="s">
        <v>23</v>
      </c>
      <c r="D59" s="4" t="s">
        <v>9</v>
      </c>
    </row>
    <row r="60" spans="1:4" x14ac:dyDescent="0.35">
      <c r="A60" s="4" t="s">
        <v>72</v>
      </c>
      <c r="B60" s="4">
        <v>0.66</v>
      </c>
      <c r="C60" s="4" t="s">
        <v>23</v>
      </c>
      <c r="D60" s="4" t="s">
        <v>9</v>
      </c>
    </row>
    <row r="61" spans="1:4" x14ac:dyDescent="0.35">
      <c r="A61" s="4" t="s">
        <v>73</v>
      </c>
      <c r="B61" s="4">
        <v>0.71</v>
      </c>
      <c r="C61" s="4" t="s">
        <v>23</v>
      </c>
      <c r="D61" s="4" t="s">
        <v>9</v>
      </c>
    </row>
    <row r="62" spans="1:4" x14ac:dyDescent="0.35">
      <c r="A62" s="4" t="s">
        <v>74</v>
      </c>
      <c r="B62" s="4">
        <v>0.74</v>
      </c>
      <c r="C62" s="4" t="s">
        <v>23</v>
      </c>
      <c r="D62" s="4" t="s">
        <v>9</v>
      </c>
    </row>
    <row r="63" spans="1:4" x14ac:dyDescent="0.35">
      <c r="A63" s="4" t="s">
        <v>75</v>
      </c>
      <c r="B63" s="4">
        <v>0.76</v>
      </c>
      <c r="C63" s="4" t="s">
        <v>23</v>
      </c>
      <c r="D63" s="4" t="s">
        <v>9</v>
      </c>
    </row>
    <row r="64" spans="1:4" x14ac:dyDescent="0.35">
      <c r="A64" s="4" t="s">
        <v>76</v>
      </c>
      <c r="B64" s="4">
        <v>45</v>
      </c>
      <c r="C64" s="4" t="s">
        <v>23</v>
      </c>
      <c r="D64" s="4" t="s">
        <v>9</v>
      </c>
    </row>
    <row r="65" spans="1:4" x14ac:dyDescent="0.35">
      <c r="A65" s="4" t="s">
        <v>77</v>
      </c>
      <c r="B65" s="4">
        <v>60</v>
      </c>
      <c r="C65" s="4" t="s">
        <v>23</v>
      </c>
      <c r="D65" s="4" t="s">
        <v>9</v>
      </c>
    </row>
    <row r="66" spans="1:4" x14ac:dyDescent="0.35">
      <c r="A66" s="4" t="s">
        <v>78</v>
      </c>
      <c r="B66" s="4">
        <v>140</v>
      </c>
      <c r="C66" s="4" t="s">
        <v>23</v>
      </c>
      <c r="D66" s="4" t="s">
        <v>9</v>
      </c>
    </row>
    <row r="67" spans="1:4" x14ac:dyDescent="0.35">
      <c r="A67" s="4" t="s">
        <v>79</v>
      </c>
      <c r="B67" s="4">
        <v>300</v>
      </c>
      <c r="C67" s="4" t="s">
        <v>23</v>
      </c>
      <c r="D67" s="4" t="s">
        <v>9</v>
      </c>
    </row>
    <row r="68" spans="1:4" x14ac:dyDescent="0.35">
      <c r="A68" s="4" t="s">
        <v>80</v>
      </c>
      <c r="B68" s="4">
        <v>380</v>
      </c>
      <c r="C68" s="4" t="s">
        <v>23</v>
      </c>
      <c r="D68" s="4" t="s">
        <v>9</v>
      </c>
    </row>
    <row r="69" spans="1:4" x14ac:dyDescent="0.35">
      <c r="A69" s="4" t="s">
        <v>81</v>
      </c>
      <c r="B69" s="4">
        <v>500</v>
      </c>
      <c r="C69" s="4" t="s">
        <v>23</v>
      </c>
      <c r="D69" s="4" t="s">
        <v>9</v>
      </c>
    </row>
    <row r="70" spans="1:4" x14ac:dyDescent="0.35">
      <c r="A70" s="4" t="s">
        <v>82</v>
      </c>
      <c r="B70" s="4">
        <v>650</v>
      </c>
      <c r="C70" s="4" t="s">
        <v>23</v>
      </c>
      <c r="D70" s="4" t="s">
        <v>9</v>
      </c>
    </row>
    <row r="71" spans="1:4" x14ac:dyDescent="0.35">
      <c r="A71" s="4" t="s">
        <v>83</v>
      </c>
      <c r="B71" s="4">
        <v>820</v>
      </c>
      <c r="C71" s="4" t="s">
        <v>23</v>
      </c>
      <c r="D71" s="4" t="s">
        <v>9</v>
      </c>
    </row>
    <row r="72" spans="1:4" x14ac:dyDescent="0.35">
      <c r="A72" s="4" t="s">
        <v>84</v>
      </c>
      <c r="B72" s="4">
        <v>980</v>
      </c>
      <c r="C72" s="4" t="s">
        <v>23</v>
      </c>
      <c r="D72" s="4" t="s">
        <v>9</v>
      </c>
    </row>
    <row r="73" spans="1:4" x14ac:dyDescent="0.35">
      <c r="A73" s="4" t="s">
        <v>85</v>
      </c>
      <c r="B73" s="4">
        <v>18</v>
      </c>
      <c r="C73" s="4" t="s">
        <v>23</v>
      </c>
      <c r="D73" s="4" t="s">
        <v>9</v>
      </c>
    </row>
    <row r="74" spans="1:4" x14ac:dyDescent="0.35">
      <c r="A74" s="4" t="s">
        <v>86</v>
      </c>
      <c r="B74" s="4">
        <v>25</v>
      </c>
      <c r="C74" s="4" t="s">
        <v>23</v>
      </c>
      <c r="D74" s="4" t="s">
        <v>9</v>
      </c>
    </row>
    <row r="75" spans="1:4" x14ac:dyDescent="0.35">
      <c r="A75" s="4" t="s">
        <v>87</v>
      </c>
      <c r="B75" s="4">
        <v>70</v>
      </c>
      <c r="C75" s="4" t="s">
        <v>23</v>
      </c>
      <c r="D75" s="4" t="s">
        <v>9</v>
      </c>
    </row>
    <row r="76" spans="1:4" x14ac:dyDescent="0.35">
      <c r="A76" s="4" t="s">
        <v>88</v>
      </c>
      <c r="B76" s="4">
        <v>150</v>
      </c>
      <c r="C76" s="4" t="s">
        <v>23</v>
      </c>
      <c r="D76" s="4" t="s">
        <v>9</v>
      </c>
    </row>
    <row r="77" spans="1:4" x14ac:dyDescent="0.35">
      <c r="A77" s="4" t="s">
        <v>89</v>
      </c>
      <c r="B77" s="4">
        <v>250</v>
      </c>
      <c r="C77" s="4" t="s">
        <v>23</v>
      </c>
      <c r="D77" s="4" t="s">
        <v>9</v>
      </c>
    </row>
    <row r="78" spans="1:4" x14ac:dyDescent="0.35">
      <c r="A78" s="4" t="s">
        <v>90</v>
      </c>
      <c r="B78" s="4">
        <v>400</v>
      </c>
      <c r="C78" s="4" t="s">
        <v>23</v>
      </c>
      <c r="D78" s="4" t="s">
        <v>9</v>
      </c>
    </row>
    <row r="79" spans="1:4" x14ac:dyDescent="0.35">
      <c r="A79" s="4" t="s">
        <v>91</v>
      </c>
      <c r="B79" s="4">
        <v>600</v>
      </c>
      <c r="C79" s="4" t="s">
        <v>23</v>
      </c>
      <c r="D79" s="4" t="s">
        <v>9</v>
      </c>
    </row>
    <row r="80" spans="1:4" x14ac:dyDescent="0.35">
      <c r="A80" s="4" t="s">
        <v>92</v>
      </c>
      <c r="B80" s="4">
        <v>820</v>
      </c>
      <c r="C80" s="4" t="s">
        <v>23</v>
      </c>
      <c r="D80" s="4" t="s">
        <v>9</v>
      </c>
    </row>
    <row r="81" spans="1:4" x14ac:dyDescent="0.35">
      <c r="A81" s="4" t="s">
        <v>93</v>
      </c>
      <c r="B81" s="4">
        <v>1030</v>
      </c>
      <c r="C81" s="4" t="s">
        <v>23</v>
      </c>
      <c r="D81" s="4" t="s">
        <v>9</v>
      </c>
    </row>
    <row r="82" spans="1:4" x14ac:dyDescent="0.35">
      <c r="A82" s="4" t="s">
        <v>94</v>
      </c>
      <c r="B82" s="4">
        <v>17</v>
      </c>
      <c r="C82" s="4" t="s">
        <v>23</v>
      </c>
      <c r="D82" s="4" t="s">
        <v>9</v>
      </c>
    </row>
    <row r="83" spans="1:4" x14ac:dyDescent="0.35">
      <c r="A83" s="4" t="s">
        <v>95</v>
      </c>
      <c r="B83" s="4">
        <v>25</v>
      </c>
      <c r="C83" s="4" t="s">
        <v>23</v>
      </c>
      <c r="D83" s="4" t="s">
        <v>9</v>
      </c>
    </row>
    <row r="84" spans="1:4" x14ac:dyDescent="0.35">
      <c r="A84" s="4" t="s">
        <v>96</v>
      </c>
      <c r="B84" s="4">
        <v>45</v>
      </c>
      <c r="C84" s="4" t="s">
        <v>23</v>
      </c>
      <c r="D84" s="4" t="s">
        <v>9</v>
      </c>
    </row>
    <row r="85" spans="1:4" x14ac:dyDescent="0.35">
      <c r="A85" s="4" t="s">
        <v>97</v>
      </c>
      <c r="B85" s="4">
        <v>80</v>
      </c>
      <c r="C85" s="4" t="s">
        <v>23</v>
      </c>
      <c r="D85" s="4" t="s">
        <v>9</v>
      </c>
    </row>
    <row r="86" spans="1:4" x14ac:dyDescent="0.35">
      <c r="A86" s="4" t="s">
        <v>98</v>
      </c>
      <c r="B86" s="4">
        <v>110</v>
      </c>
      <c r="C86" s="4" t="s">
        <v>23</v>
      </c>
      <c r="D86" s="4" t="s">
        <v>9</v>
      </c>
    </row>
    <row r="87" spans="1:4" x14ac:dyDescent="0.35">
      <c r="A87" s="4" t="s">
        <v>99</v>
      </c>
      <c r="B87" s="4">
        <v>160</v>
      </c>
      <c r="C87" s="4" t="s">
        <v>23</v>
      </c>
      <c r="D87" s="4" t="s">
        <v>9</v>
      </c>
    </row>
    <row r="88" spans="1:4" x14ac:dyDescent="0.35">
      <c r="A88" s="4" t="s">
        <v>100</v>
      </c>
      <c r="B88" s="4">
        <v>220</v>
      </c>
      <c r="C88" s="4" t="s">
        <v>23</v>
      </c>
      <c r="D88" s="4" t="s">
        <v>9</v>
      </c>
    </row>
    <row r="89" spans="1:4" x14ac:dyDescent="0.35">
      <c r="A89" s="4" t="s">
        <v>101</v>
      </c>
      <c r="B89" s="4">
        <v>290</v>
      </c>
      <c r="C89" s="4" t="s">
        <v>23</v>
      </c>
      <c r="D89" s="4" t="s">
        <v>9</v>
      </c>
    </row>
    <row r="90" spans="1:4" x14ac:dyDescent="0.35">
      <c r="A90" s="4" t="s">
        <v>102</v>
      </c>
      <c r="B90" s="4">
        <v>360</v>
      </c>
      <c r="C90" s="4" t="s">
        <v>23</v>
      </c>
      <c r="D90" s="4" t="s">
        <v>9</v>
      </c>
    </row>
    <row r="91" spans="1:4" x14ac:dyDescent="0.35">
      <c r="A91" s="4" t="s">
        <v>103</v>
      </c>
      <c r="B91" s="4">
        <v>10</v>
      </c>
      <c r="C91" s="4" t="s">
        <v>23</v>
      </c>
      <c r="D91" s="4" t="s">
        <v>9</v>
      </c>
    </row>
    <row r="92" spans="1:4" x14ac:dyDescent="0.35">
      <c r="A92" s="4" t="s">
        <v>104</v>
      </c>
      <c r="B92" s="4">
        <v>16</v>
      </c>
      <c r="C92" s="4" t="s">
        <v>23</v>
      </c>
      <c r="D92" s="4" t="s">
        <v>9</v>
      </c>
    </row>
    <row r="93" spans="1:4" x14ac:dyDescent="0.35">
      <c r="A93" s="4" t="s">
        <v>105</v>
      </c>
      <c r="B93" s="4">
        <v>35</v>
      </c>
      <c r="C93" s="4" t="s">
        <v>23</v>
      </c>
      <c r="D93" s="4" t="s">
        <v>9</v>
      </c>
    </row>
    <row r="94" spans="1:4" x14ac:dyDescent="0.35">
      <c r="A94" s="4" t="s">
        <v>106</v>
      </c>
      <c r="B94" s="4">
        <v>70</v>
      </c>
      <c r="C94" s="4" t="s">
        <v>23</v>
      </c>
      <c r="D94" s="4" t="s">
        <v>9</v>
      </c>
    </row>
    <row r="95" spans="1:4" x14ac:dyDescent="0.35">
      <c r="A95" s="4" t="s">
        <v>107</v>
      </c>
      <c r="B95" s="4">
        <v>90</v>
      </c>
      <c r="C95" s="4" t="s">
        <v>23</v>
      </c>
      <c r="D95" s="4" t="s">
        <v>9</v>
      </c>
    </row>
    <row r="96" spans="1:4" x14ac:dyDescent="0.35">
      <c r="A96" s="4" t="s">
        <v>108</v>
      </c>
      <c r="B96" s="4">
        <v>110</v>
      </c>
      <c r="C96" s="4" t="s">
        <v>23</v>
      </c>
      <c r="D96" s="4" t="s">
        <v>9</v>
      </c>
    </row>
    <row r="97" spans="1:4" x14ac:dyDescent="0.35">
      <c r="A97" s="4" t="s">
        <v>109</v>
      </c>
      <c r="B97" s="4">
        <v>135</v>
      </c>
      <c r="C97" s="4" t="s">
        <v>23</v>
      </c>
      <c r="D97" s="4" t="s">
        <v>9</v>
      </c>
    </row>
    <row r="98" spans="1:4" x14ac:dyDescent="0.35">
      <c r="A98" s="4" t="s">
        <v>110</v>
      </c>
      <c r="B98" s="4">
        <v>160</v>
      </c>
      <c r="C98" s="4" t="s">
        <v>23</v>
      </c>
      <c r="D98" s="4" t="s">
        <v>9</v>
      </c>
    </row>
    <row r="99" spans="1:4" x14ac:dyDescent="0.35">
      <c r="A99" s="4" t="s">
        <v>111</v>
      </c>
      <c r="B99" s="4">
        <v>190</v>
      </c>
      <c r="C99" s="4" t="s">
        <v>23</v>
      </c>
      <c r="D99" s="4" t="s">
        <v>9</v>
      </c>
    </row>
    <row r="100" spans="1:4" x14ac:dyDescent="0.35">
      <c r="A100" s="4" t="s">
        <v>112</v>
      </c>
      <c r="B100" s="4">
        <v>2</v>
      </c>
      <c r="C100" s="4" t="s">
        <v>23</v>
      </c>
      <c r="D100" s="4" t="s">
        <v>9</v>
      </c>
    </row>
    <row r="101" spans="1:4" x14ac:dyDescent="0.35">
      <c r="A101" s="4" t="s">
        <v>113</v>
      </c>
      <c r="B101" s="4">
        <v>3</v>
      </c>
      <c r="C101" s="4" t="s">
        <v>23</v>
      </c>
      <c r="D101" s="4" t="s">
        <v>9</v>
      </c>
    </row>
    <row r="102" spans="1:4" x14ac:dyDescent="0.35">
      <c r="A102" s="4" t="s">
        <v>114</v>
      </c>
      <c r="B102" s="4">
        <v>10</v>
      </c>
      <c r="C102" s="4" t="s">
        <v>23</v>
      </c>
      <c r="D102" s="4" t="s">
        <v>9</v>
      </c>
    </row>
    <row r="103" spans="1:4" x14ac:dyDescent="0.35">
      <c r="A103" s="4" t="s">
        <v>115</v>
      </c>
      <c r="B103" s="4">
        <v>20</v>
      </c>
      <c r="C103" s="4" t="s">
        <v>23</v>
      </c>
      <c r="D103" s="4" t="s">
        <v>9</v>
      </c>
    </row>
    <row r="104" spans="1:4" x14ac:dyDescent="0.35">
      <c r="A104" s="4" t="s">
        <v>116</v>
      </c>
      <c r="B104" s="4">
        <v>30</v>
      </c>
      <c r="C104" s="4" t="s">
        <v>23</v>
      </c>
      <c r="D104" s="4" t="s">
        <v>9</v>
      </c>
    </row>
    <row r="105" spans="1:4" x14ac:dyDescent="0.35">
      <c r="A105" s="4" t="s">
        <v>117</v>
      </c>
      <c r="B105" s="4">
        <v>35</v>
      </c>
      <c r="C105" s="4" t="s">
        <v>23</v>
      </c>
      <c r="D105" s="4" t="s">
        <v>9</v>
      </c>
    </row>
    <row r="106" spans="1:4" x14ac:dyDescent="0.35">
      <c r="A106" s="4" t="s">
        <v>118</v>
      </c>
      <c r="B106" s="4">
        <v>40</v>
      </c>
      <c r="C106" s="4" t="s">
        <v>23</v>
      </c>
      <c r="D106" s="4" t="s">
        <v>9</v>
      </c>
    </row>
    <row r="107" spans="1:4" x14ac:dyDescent="0.35">
      <c r="A107" s="4" t="s">
        <v>119</v>
      </c>
      <c r="B107" s="4">
        <v>50</v>
      </c>
      <c r="C107" s="4" t="s">
        <v>23</v>
      </c>
      <c r="D107" s="4" t="s">
        <v>9</v>
      </c>
    </row>
    <row r="108" spans="1:4" x14ac:dyDescent="0.35">
      <c r="A108" s="4" t="s">
        <v>120</v>
      </c>
      <c r="B108" s="4">
        <v>60</v>
      </c>
      <c r="C108" s="4" t="s">
        <v>23</v>
      </c>
      <c r="D108" s="4" t="s">
        <v>9</v>
      </c>
    </row>
    <row r="109" spans="1:4" x14ac:dyDescent="0.35">
      <c r="A109" s="4" t="s">
        <v>121</v>
      </c>
      <c r="B109" s="4">
        <v>8</v>
      </c>
      <c r="C109" s="4" t="s">
        <v>23</v>
      </c>
      <c r="D109" s="4" t="s">
        <v>9</v>
      </c>
    </row>
    <row r="110" spans="1:4" x14ac:dyDescent="0.35">
      <c r="A110" s="4" t="s">
        <v>122</v>
      </c>
      <c r="B110" s="4">
        <v>12</v>
      </c>
      <c r="C110" s="4" t="s">
        <v>23</v>
      </c>
      <c r="D110" s="4" t="s">
        <v>9</v>
      </c>
    </row>
    <row r="111" spans="1:4" x14ac:dyDescent="0.35">
      <c r="A111" s="4" t="s">
        <v>123</v>
      </c>
      <c r="B111" s="4">
        <v>28</v>
      </c>
      <c r="C111" s="4" t="s">
        <v>23</v>
      </c>
      <c r="D111" s="4" t="s">
        <v>9</v>
      </c>
    </row>
    <row r="112" spans="1:4" x14ac:dyDescent="0.35">
      <c r="A112" s="4" t="s">
        <v>124</v>
      </c>
      <c r="B112" s="4">
        <v>65</v>
      </c>
      <c r="C112" s="4" t="s">
        <v>23</v>
      </c>
      <c r="D112" s="4" t="s">
        <v>9</v>
      </c>
    </row>
    <row r="113" spans="1:4" x14ac:dyDescent="0.35">
      <c r="A113" s="4" t="s">
        <v>125</v>
      </c>
      <c r="B113" s="4">
        <v>95</v>
      </c>
      <c r="C113" s="4" t="s">
        <v>23</v>
      </c>
      <c r="D113" s="4" t="s">
        <v>9</v>
      </c>
    </row>
    <row r="114" spans="1:4" x14ac:dyDescent="0.35">
      <c r="A114" s="4" t="s">
        <v>126</v>
      </c>
      <c r="B114" s="4">
        <v>130</v>
      </c>
      <c r="C114" s="4" t="s">
        <v>23</v>
      </c>
      <c r="D114" s="4" t="s">
        <v>9</v>
      </c>
    </row>
    <row r="115" spans="1:4" x14ac:dyDescent="0.35">
      <c r="A115" s="4" t="s">
        <v>127</v>
      </c>
      <c r="B115" s="4">
        <v>170</v>
      </c>
      <c r="C115" s="4" t="s">
        <v>23</v>
      </c>
      <c r="D115" s="4" t="s">
        <v>9</v>
      </c>
    </row>
    <row r="116" spans="1:4" x14ac:dyDescent="0.35">
      <c r="A116" s="4" t="s">
        <v>128</v>
      </c>
      <c r="B116" s="4">
        <v>220</v>
      </c>
      <c r="C116" s="4" t="s">
        <v>23</v>
      </c>
      <c r="D116" s="4" t="s">
        <v>9</v>
      </c>
    </row>
    <row r="117" spans="1:4" x14ac:dyDescent="0.35">
      <c r="A117" s="4" t="s">
        <v>129</v>
      </c>
      <c r="B117" s="4">
        <v>275</v>
      </c>
      <c r="C117" s="4" t="s">
        <v>23</v>
      </c>
      <c r="D117" s="4" t="s">
        <v>9</v>
      </c>
    </row>
    <row r="118" spans="1:4" x14ac:dyDescent="0.35">
      <c r="A118" s="4" t="s">
        <v>130</v>
      </c>
      <c r="B118" s="4">
        <v>22.5</v>
      </c>
      <c r="C118" s="4" t="s">
        <v>23</v>
      </c>
      <c r="D118" s="4" t="s">
        <v>9</v>
      </c>
    </row>
    <row r="119" spans="1:4" x14ac:dyDescent="0.35">
      <c r="A119" s="4" t="s">
        <v>131</v>
      </c>
      <c r="B119" s="4">
        <v>30</v>
      </c>
      <c r="C119" s="4" t="s">
        <v>23</v>
      </c>
      <c r="D119" s="4" t="s">
        <v>9</v>
      </c>
    </row>
    <row r="120" spans="1:4" x14ac:dyDescent="0.35">
      <c r="A120" s="4" t="s">
        <v>132</v>
      </c>
      <c r="B120" s="4">
        <v>40</v>
      </c>
      <c r="C120" s="4" t="s">
        <v>23</v>
      </c>
      <c r="D120" s="4" t="s">
        <v>9</v>
      </c>
    </row>
    <row r="121" spans="1:4" x14ac:dyDescent="0.35">
      <c r="A121" s="4" t="s">
        <v>133</v>
      </c>
      <c r="B121" s="4">
        <v>50</v>
      </c>
      <c r="C121" s="4" t="s">
        <v>23</v>
      </c>
      <c r="D121" s="4" t="s">
        <v>9</v>
      </c>
    </row>
    <row r="122" spans="1:4" x14ac:dyDescent="0.35">
      <c r="A122" s="4" t="s">
        <v>134</v>
      </c>
      <c r="B122" s="4">
        <v>72</v>
      </c>
      <c r="C122" s="4" t="s">
        <v>23</v>
      </c>
      <c r="D122" s="4" t="s">
        <v>9</v>
      </c>
    </row>
    <row r="123" spans="1:4" x14ac:dyDescent="0.35">
      <c r="A123" s="4" t="s">
        <v>135</v>
      </c>
      <c r="B123" s="4">
        <v>100</v>
      </c>
      <c r="C123" s="4" t="s">
        <v>23</v>
      </c>
      <c r="D123" s="4" t="s">
        <v>9</v>
      </c>
    </row>
    <row r="124" spans="1:4" x14ac:dyDescent="0.35">
      <c r="A124" s="4" t="s">
        <v>136</v>
      </c>
      <c r="B124" s="4">
        <v>135</v>
      </c>
      <c r="C124" s="4" t="s">
        <v>23</v>
      </c>
      <c r="D124" s="4" t="s">
        <v>9</v>
      </c>
    </row>
    <row r="125" spans="1:4" x14ac:dyDescent="0.35">
      <c r="A125" s="4" t="s">
        <v>137</v>
      </c>
      <c r="B125" s="4">
        <v>175</v>
      </c>
      <c r="C125" s="4" t="s">
        <v>23</v>
      </c>
      <c r="D125" s="4" t="s">
        <v>9</v>
      </c>
    </row>
    <row r="126" spans="1:4" x14ac:dyDescent="0.35">
      <c r="A126" s="4" t="s">
        <v>138</v>
      </c>
      <c r="B126" s="4">
        <v>220</v>
      </c>
      <c r="C126" s="4" t="s">
        <v>23</v>
      </c>
      <c r="D126" s="4" t="s">
        <v>9</v>
      </c>
    </row>
    <row r="127" spans="1:4" x14ac:dyDescent="0.35">
      <c r="A127" s="4" t="s">
        <v>139</v>
      </c>
      <c r="B127" s="4">
        <v>2.5</v>
      </c>
      <c r="C127" s="4" t="s">
        <v>23</v>
      </c>
      <c r="D127" s="4" t="s">
        <v>9</v>
      </c>
    </row>
    <row r="128" spans="1:4" x14ac:dyDescent="0.35">
      <c r="A128" s="4" t="s">
        <v>140</v>
      </c>
      <c r="B128" s="4">
        <v>3.3</v>
      </c>
      <c r="C128" s="4" t="s">
        <v>23</v>
      </c>
      <c r="D128" s="4" t="s">
        <v>9</v>
      </c>
    </row>
    <row r="129" spans="1:4" x14ac:dyDescent="0.35">
      <c r="A129" s="4" t="s">
        <v>141</v>
      </c>
      <c r="B129" s="4">
        <v>6.8</v>
      </c>
      <c r="C129" s="4" t="s">
        <v>23</v>
      </c>
      <c r="D129" s="4" t="s">
        <v>9</v>
      </c>
    </row>
    <row r="130" spans="1:4" x14ac:dyDescent="0.35">
      <c r="A130" s="4" t="s">
        <v>142</v>
      </c>
      <c r="B130" s="4">
        <v>11</v>
      </c>
      <c r="C130" s="4" t="s">
        <v>23</v>
      </c>
      <c r="D130" s="4" t="s">
        <v>9</v>
      </c>
    </row>
    <row r="131" spans="1:4" x14ac:dyDescent="0.35">
      <c r="A131" s="4" t="s">
        <v>143</v>
      </c>
      <c r="B131" s="4">
        <v>16.5</v>
      </c>
      <c r="C131" s="4" t="s">
        <v>23</v>
      </c>
      <c r="D131" s="4" t="s">
        <v>9</v>
      </c>
    </row>
    <row r="132" spans="1:4" x14ac:dyDescent="0.35">
      <c r="A132" s="4" t="s">
        <v>144</v>
      </c>
      <c r="B132" s="4">
        <v>23</v>
      </c>
      <c r="C132" s="4" t="s">
        <v>23</v>
      </c>
      <c r="D132" s="4" t="s">
        <v>9</v>
      </c>
    </row>
    <row r="133" spans="1:4" x14ac:dyDescent="0.35">
      <c r="A133" s="4" t="s">
        <v>145</v>
      </c>
      <c r="B133" s="4">
        <v>31</v>
      </c>
      <c r="C133" s="4" t="s">
        <v>23</v>
      </c>
      <c r="D133" s="4" t="s">
        <v>9</v>
      </c>
    </row>
    <row r="134" spans="1:4" x14ac:dyDescent="0.35">
      <c r="A134" s="4" t="s">
        <v>146</v>
      </c>
      <c r="B134" s="4">
        <v>40</v>
      </c>
      <c r="C134" s="4" t="s">
        <v>23</v>
      </c>
      <c r="D134" s="4" t="s">
        <v>9</v>
      </c>
    </row>
    <row r="135" spans="1:4" x14ac:dyDescent="0.35">
      <c r="A135" s="4" t="s">
        <v>147</v>
      </c>
      <c r="B135" s="4">
        <v>50</v>
      </c>
      <c r="C135" s="4" t="s">
        <v>23</v>
      </c>
      <c r="D135" s="4" t="s">
        <v>9</v>
      </c>
    </row>
    <row r="136" spans="1:4" x14ac:dyDescent="0.35">
      <c r="A136" s="4" t="s">
        <v>148</v>
      </c>
      <c r="B136" s="4">
        <v>0.1</v>
      </c>
      <c r="C136" s="4" t="s">
        <v>23</v>
      </c>
      <c r="D136" s="4" t="s">
        <v>9</v>
      </c>
    </row>
    <row r="137" spans="1:4" x14ac:dyDescent="0.35">
      <c r="A137" s="4" t="s">
        <v>149</v>
      </c>
      <c r="B137" s="4">
        <v>0.16</v>
      </c>
      <c r="C137" s="4" t="s">
        <v>23</v>
      </c>
      <c r="D137" s="4" t="s">
        <v>9</v>
      </c>
    </row>
    <row r="138" spans="1:4" x14ac:dyDescent="0.35">
      <c r="A138" s="4" t="s">
        <v>150</v>
      </c>
      <c r="B138" s="4">
        <v>0.65</v>
      </c>
      <c r="C138" s="4" t="s">
        <v>23</v>
      </c>
      <c r="D138" s="4" t="s">
        <v>9</v>
      </c>
    </row>
    <row r="139" spans="1:4" x14ac:dyDescent="0.35">
      <c r="A139" s="4" t="s">
        <v>151</v>
      </c>
      <c r="B139" s="4">
        <v>1.8</v>
      </c>
      <c r="C139" s="4" t="s">
        <v>23</v>
      </c>
      <c r="D139" s="4" t="s">
        <v>9</v>
      </c>
    </row>
    <row r="140" spans="1:4" x14ac:dyDescent="0.35">
      <c r="A140" s="4" t="s">
        <v>152</v>
      </c>
      <c r="B140" s="4">
        <v>3.2</v>
      </c>
      <c r="C140" s="4" t="s">
        <v>23</v>
      </c>
      <c r="D140" s="4" t="s">
        <v>9</v>
      </c>
    </row>
    <row r="141" spans="1:4" x14ac:dyDescent="0.35">
      <c r="A141" s="4" t="s">
        <v>153</v>
      </c>
      <c r="B141" s="4">
        <v>5.0999999999999996</v>
      </c>
      <c r="C141" s="4" t="s">
        <v>23</v>
      </c>
      <c r="D141" s="4" t="s">
        <v>9</v>
      </c>
    </row>
    <row r="142" spans="1:4" x14ac:dyDescent="0.35">
      <c r="A142" s="4" t="s">
        <v>154</v>
      </c>
      <c r="B142" s="4">
        <v>7.4</v>
      </c>
      <c r="C142" s="4" t="s">
        <v>23</v>
      </c>
      <c r="D142" s="4" t="s">
        <v>9</v>
      </c>
    </row>
    <row r="143" spans="1:4" x14ac:dyDescent="0.35">
      <c r="A143" s="4" t="s">
        <v>155</v>
      </c>
      <c r="B143" s="4">
        <v>9.8000000000000007</v>
      </c>
      <c r="C143" s="4" t="s">
        <v>23</v>
      </c>
      <c r="D143" s="4" t="s">
        <v>9</v>
      </c>
    </row>
    <row r="144" spans="1:4" x14ac:dyDescent="0.35">
      <c r="A144" s="4" t="s">
        <v>156</v>
      </c>
      <c r="B144" s="4">
        <v>12.5</v>
      </c>
      <c r="C144" s="4" t="s">
        <v>23</v>
      </c>
      <c r="D144" s="4" t="s">
        <v>9</v>
      </c>
    </row>
    <row r="145" spans="1:4" x14ac:dyDescent="0.35">
      <c r="A145" s="4" t="s">
        <v>157</v>
      </c>
      <c r="B145" s="4">
        <v>40</v>
      </c>
      <c r="C145" s="4" t="s">
        <v>23</v>
      </c>
      <c r="D145" s="4" t="s">
        <v>9</v>
      </c>
    </row>
    <row r="146" spans="1:4" x14ac:dyDescent="0.35">
      <c r="A146" s="4" t="s">
        <v>158</v>
      </c>
      <c r="B146" s="4">
        <v>100</v>
      </c>
      <c r="C146" s="4" t="s">
        <v>23</v>
      </c>
      <c r="D146" s="4" t="s">
        <v>9</v>
      </c>
    </row>
    <row r="147" spans="1:4" x14ac:dyDescent="0.35">
      <c r="A147" s="4" t="s">
        <v>159</v>
      </c>
      <c r="B147" s="4">
        <v>400</v>
      </c>
      <c r="C147" s="4" t="s">
        <v>23</v>
      </c>
      <c r="D147" s="4" t="s">
        <v>9</v>
      </c>
    </row>
    <row r="148" spans="1:4" x14ac:dyDescent="0.35">
      <c r="A148" s="4" t="s">
        <v>160</v>
      </c>
      <c r="B148" s="4">
        <v>1200</v>
      </c>
      <c r="C148" s="4" t="s">
        <v>23</v>
      </c>
      <c r="D148" s="4" t="s">
        <v>9</v>
      </c>
    </row>
    <row r="149" spans="1:4" x14ac:dyDescent="0.35">
      <c r="A149" s="4" t="s">
        <v>161</v>
      </c>
      <c r="B149" s="4">
        <v>2400</v>
      </c>
      <c r="C149" s="4" t="s">
        <v>23</v>
      </c>
      <c r="D149" s="4" t="s">
        <v>9</v>
      </c>
    </row>
    <row r="150" spans="1:4" x14ac:dyDescent="0.35">
      <c r="A150" s="4" t="s">
        <v>162</v>
      </c>
      <c r="B150" s="4">
        <v>4200</v>
      </c>
      <c r="C150" s="4" t="s">
        <v>23</v>
      </c>
      <c r="D150" s="4" t="s">
        <v>9</v>
      </c>
    </row>
    <row r="151" spans="1:4" x14ac:dyDescent="0.35">
      <c r="A151" s="4" t="s">
        <v>163</v>
      </c>
      <c r="B151" s="4">
        <v>6500</v>
      </c>
      <c r="C151" s="4" t="s">
        <v>23</v>
      </c>
      <c r="D151" s="4" t="s">
        <v>9</v>
      </c>
    </row>
    <row r="152" spans="1:4" x14ac:dyDescent="0.35">
      <c r="A152" s="4" t="s">
        <v>164</v>
      </c>
      <c r="B152" s="4">
        <v>9000</v>
      </c>
      <c r="C152" s="4" t="s">
        <v>23</v>
      </c>
      <c r="D152" s="4" t="s">
        <v>9</v>
      </c>
    </row>
    <row r="153" spans="1:4" x14ac:dyDescent="0.35">
      <c r="A153" s="4" t="s">
        <v>165</v>
      </c>
      <c r="B153" s="4">
        <v>12000</v>
      </c>
      <c r="C153" s="4" t="s">
        <v>23</v>
      </c>
      <c r="D153" s="4" t="s">
        <v>9</v>
      </c>
    </row>
    <row r="154" spans="1:4" x14ac:dyDescent="0.35">
      <c r="A154" s="4" t="s">
        <v>166</v>
      </c>
      <c r="B154" s="4">
        <v>20</v>
      </c>
      <c r="C154" s="4" t="s">
        <v>23</v>
      </c>
      <c r="D154" s="4" t="s">
        <v>9</v>
      </c>
    </row>
    <row r="155" spans="1:4" x14ac:dyDescent="0.35">
      <c r="A155" s="4" t="s">
        <v>167</v>
      </c>
      <c r="B155" s="4">
        <v>28</v>
      </c>
      <c r="C155" s="4" t="s">
        <v>23</v>
      </c>
      <c r="D155" s="4" t="s">
        <v>9</v>
      </c>
    </row>
    <row r="156" spans="1:4" x14ac:dyDescent="0.35">
      <c r="A156" s="4" t="s">
        <v>168</v>
      </c>
      <c r="B156" s="4">
        <v>300</v>
      </c>
      <c r="C156" s="4" t="s">
        <v>23</v>
      </c>
      <c r="D156" s="4" t="s">
        <v>9</v>
      </c>
    </row>
    <row r="157" spans="1:4" x14ac:dyDescent="0.35">
      <c r="A157" s="4" t="s">
        <v>169</v>
      </c>
      <c r="B157" s="4">
        <v>1000</v>
      </c>
      <c r="C157" s="4" t="s">
        <v>23</v>
      </c>
      <c r="D157" s="4" t="s">
        <v>9</v>
      </c>
    </row>
    <row r="158" spans="1:4" x14ac:dyDescent="0.35">
      <c r="A158" s="4" t="s">
        <v>170</v>
      </c>
      <c r="B158" s="4">
        <v>1500</v>
      </c>
      <c r="C158" s="4" t="s">
        <v>23</v>
      </c>
      <c r="D158" s="4" t="s">
        <v>9</v>
      </c>
    </row>
    <row r="159" spans="1:4" x14ac:dyDescent="0.35">
      <c r="A159" s="4" t="s">
        <v>171</v>
      </c>
      <c r="B159" s="4">
        <v>2350</v>
      </c>
      <c r="C159" s="4" t="s">
        <v>23</v>
      </c>
      <c r="D159" s="4" t="s">
        <v>9</v>
      </c>
    </row>
    <row r="160" spans="1:4" x14ac:dyDescent="0.35">
      <c r="A160" s="4" t="s">
        <v>172</v>
      </c>
      <c r="B160" s="4">
        <v>3350</v>
      </c>
      <c r="C160" s="4" t="s">
        <v>23</v>
      </c>
      <c r="D160" s="4" t="s">
        <v>9</v>
      </c>
    </row>
    <row r="161" spans="1:4" x14ac:dyDescent="0.35">
      <c r="A161" s="4" t="s">
        <v>173</v>
      </c>
      <c r="B161" s="4">
        <v>4500</v>
      </c>
      <c r="C161" s="4" t="s">
        <v>23</v>
      </c>
      <c r="D161" s="4" t="s">
        <v>9</v>
      </c>
    </row>
    <row r="162" spans="1:4" x14ac:dyDescent="0.35">
      <c r="A162" s="4" t="s">
        <v>174</v>
      </c>
      <c r="B162" s="4">
        <v>5700</v>
      </c>
      <c r="C162" s="4" t="s">
        <v>23</v>
      </c>
      <c r="D162" s="4" t="s">
        <v>9</v>
      </c>
    </row>
    <row r="163" spans="1:4" x14ac:dyDescent="0.35">
      <c r="A163" s="4" t="s">
        <v>175</v>
      </c>
      <c r="B163" s="4">
        <v>0.25</v>
      </c>
      <c r="C163" s="4" t="s">
        <v>23</v>
      </c>
      <c r="D163" s="4" t="s">
        <v>9</v>
      </c>
    </row>
    <row r="164" spans="1:4" x14ac:dyDescent="0.35">
      <c r="A164" s="4" t="s">
        <v>176</v>
      </c>
      <c r="B164" s="4">
        <v>0.28000000000000003</v>
      </c>
      <c r="C164" s="4" t="s">
        <v>23</v>
      </c>
      <c r="D164" s="4" t="s">
        <v>9</v>
      </c>
    </row>
    <row r="165" spans="1:4" x14ac:dyDescent="0.35">
      <c r="A165" s="4" t="s">
        <v>177</v>
      </c>
      <c r="B165" s="4">
        <v>0.32</v>
      </c>
      <c r="C165" s="4" t="s">
        <v>23</v>
      </c>
      <c r="D165" s="4" t="s">
        <v>9</v>
      </c>
    </row>
    <row r="166" spans="1:4" x14ac:dyDescent="0.35">
      <c r="A166" s="4" t="s">
        <v>178</v>
      </c>
      <c r="B166" s="4">
        <v>0.36</v>
      </c>
      <c r="C166" s="4" t="s">
        <v>23</v>
      </c>
      <c r="D166" s="4" t="s">
        <v>9</v>
      </c>
    </row>
    <row r="167" spans="1:4" x14ac:dyDescent="0.35">
      <c r="A167" s="4" t="s">
        <v>179</v>
      </c>
      <c r="B167" s="4">
        <v>0.4</v>
      </c>
      <c r="C167" s="4" t="s">
        <v>23</v>
      </c>
      <c r="D167" s="4" t="s">
        <v>9</v>
      </c>
    </row>
    <row r="168" spans="1:4" x14ac:dyDescent="0.35">
      <c r="A168" s="4" t="s">
        <v>180</v>
      </c>
      <c r="B168" s="4">
        <v>0.44</v>
      </c>
      <c r="C168" s="4" t="s">
        <v>23</v>
      </c>
      <c r="D168" s="4" t="s">
        <v>9</v>
      </c>
    </row>
    <row r="169" spans="1:4" x14ac:dyDescent="0.35">
      <c r="A169" s="4" t="s">
        <v>181</v>
      </c>
      <c r="B169" s="4">
        <v>0.47</v>
      </c>
      <c r="C169" s="4" t="s">
        <v>23</v>
      </c>
      <c r="D169" s="4" t="s">
        <v>9</v>
      </c>
    </row>
    <row r="170" spans="1:4" x14ac:dyDescent="0.35">
      <c r="A170" s="4" t="s">
        <v>182</v>
      </c>
      <c r="B170" s="4">
        <v>0.5</v>
      </c>
      <c r="C170" s="4" t="s">
        <v>23</v>
      </c>
      <c r="D170" s="4" t="s">
        <v>9</v>
      </c>
    </row>
    <row r="171" spans="1:4" x14ac:dyDescent="0.35">
      <c r="A171" s="4" t="s">
        <v>183</v>
      </c>
      <c r="B171" s="4">
        <v>0.52</v>
      </c>
      <c r="C171" s="4" t="s">
        <v>23</v>
      </c>
      <c r="D171" s="4" t="s">
        <v>9</v>
      </c>
    </row>
    <row r="172" spans="1:4" x14ac:dyDescent="0.35">
      <c r="A172" s="4" t="s">
        <v>184</v>
      </c>
      <c r="B172" s="4">
        <v>0.85</v>
      </c>
      <c r="C172" s="4" t="s">
        <v>23</v>
      </c>
      <c r="D172" s="4" t="s">
        <v>9</v>
      </c>
    </row>
    <row r="173" spans="1:4" x14ac:dyDescent="0.35">
      <c r="A173" s="4" t="s">
        <v>185</v>
      </c>
      <c r="B173" s="4">
        <v>0.88</v>
      </c>
      <c r="C173" s="4" t="s">
        <v>23</v>
      </c>
      <c r="D173" s="4" t="s">
        <v>9</v>
      </c>
    </row>
    <row r="174" spans="1:4" x14ac:dyDescent="0.35">
      <c r="A174" s="4" t="s">
        <v>186</v>
      </c>
      <c r="B174" s="4">
        <v>0.9</v>
      </c>
      <c r="C174" s="4" t="s">
        <v>23</v>
      </c>
      <c r="D174" s="4" t="s">
        <v>9</v>
      </c>
    </row>
    <row r="175" spans="1:4" x14ac:dyDescent="0.35">
      <c r="A175" s="4" t="s">
        <v>187</v>
      </c>
      <c r="B175" s="4">
        <v>0.92</v>
      </c>
      <c r="C175" s="4" t="s">
        <v>23</v>
      </c>
      <c r="D175" s="4" t="s">
        <v>9</v>
      </c>
    </row>
    <row r="176" spans="1:4" x14ac:dyDescent="0.35">
      <c r="A176" s="4" t="s">
        <v>188</v>
      </c>
      <c r="B176" s="4">
        <v>0.93</v>
      </c>
      <c r="C176" s="4" t="s">
        <v>23</v>
      </c>
      <c r="D176" s="4" t="s">
        <v>9</v>
      </c>
    </row>
    <row r="177" spans="1:4" x14ac:dyDescent="0.35">
      <c r="A177" s="4" t="s">
        <v>189</v>
      </c>
      <c r="B177" s="4">
        <v>0.94</v>
      </c>
      <c r="C177" s="4" t="s">
        <v>23</v>
      </c>
      <c r="D177" s="4" t="s">
        <v>9</v>
      </c>
    </row>
    <row r="178" spans="1:4" x14ac:dyDescent="0.35">
      <c r="A178" s="4" t="s">
        <v>190</v>
      </c>
      <c r="B178" s="4">
        <v>0.94</v>
      </c>
      <c r="C178" s="4" t="s">
        <v>23</v>
      </c>
      <c r="D178" s="4" t="s">
        <v>9</v>
      </c>
    </row>
    <row r="179" spans="1:4" x14ac:dyDescent="0.35">
      <c r="A179" s="4" t="s">
        <v>191</v>
      </c>
      <c r="B179" s="4">
        <v>0.95</v>
      </c>
      <c r="C179" s="4" t="s">
        <v>23</v>
      </c>
      <c r="D179" s="4" t="s">
        <v>9</v>
      </c>
    </row>
    <row r="180" spans="1:4" x14ac:dyDescent="0.35">
      <c r="A180" s="4" t="s">
        <v>192</v>
      </c>
      <c r="B180" s="4">
        <v>0.95</v>
      </c>
      <c r="C180" s="4" t="s">
        <v>23</v>
      </c>
      <c r="D180" s="4" t="s">
        <v>9</v>
      </c>
    </row>
    <row r="181" spans="1:4" x14ac:dyDescent="0.35">
      <c r="A181" s="4" t="s">
        <v>193</v>
      </c>
      <c r="B181" s="4">
        <v>1.1499999999999999</v>
      </c>
      <c r="C181" s="4" t="s">
        <v>23</v>
      </c>
      <c r="D181" s="4" t="s">
        <v>9</v>
      </c>
    </row>
    <row r="182" spans="1:4" x14ac:dyDescent="0.35">
      <c r="A182" s="4" t="s">
        <v>194</v>
      </c>
      <c r="B182" s="4">
        <v>1.2</v>
      </c>
      <c r="C182" s="4" t="s">
        <v>23</v>
      </c>
      <c r="D182" s="4" t="s">
        <v>9</v>
      </c>
    </row>
    <row r="183" spans="1:4" x14ac:dyDescent="0.35">
      <c r="A183" s="4" t="s">
        <v>195</v>
      </c>
      <c r="B183" s="4">
        <v>1.3</v>
      </c>
      <c r="C183" s="4" t="s">
        <v>23</v>
      </c>
      <c r="D183" s="4" t="s">
        <v>9</v>
      </c>
    </row>
    <row r="184" spans="1:4" x14ac:dyDescent="0.35">
      <c r="A184" s="4" t="s">
        <v>196</v>
      </c>
      <c r="B184" s="4">
        <v>1.38</v>
      </c>
      <c r="C184" s="4" t="s">
        <v>23</v>
      </c>
      <c r="D184" s="4" t="s">
        <v>9</v>
      </c>
    </row>
    <row r="185" spans="1:4" x14ac:dyDescent="0.35">
      <c r="A185" s="4" t="s">
        <v>197</v>
      </c>
      <c r="B185" s="4">
        <v>1.35</v>
      </c>
      <c r="C185" s="4" t="s">
        <v>23</v>
      </c>
      <c r="D185" s="4" t="s">
        <v>9</v>
      </c>
    </row>
    <row r="186" spans="1:4" x14ac:dyDescent="0.35">
      <c r="A186" s="4" t="s">
        <v>198</v>
      </c>
      <c r="B186" s="4">
        <v>1.3</v>
      </c>
      <c r="C186" s="4" t="s">
        <v>23</v>
      </c>
      <c r="D186" s="4" t="s">
        <v>9</v>
      </c>
    </row>
    <row r="187" spans="1:4" x14ac:dyDescent="0.35">
      <c r="A187" s="4" t="s">
        <v>199</v>
      </c>
      <c r="B187" s="4">
        <v>1.25</v>
      </c>
      <c r="C187" s="4" t="s">
        <v>23</v>
      </c>
      <c r="D187" s="4" t="s">
        <v>9</v>
      </c>
    </row>
    <row r="188" spans="1:4" x14ac:dyDescent="0.35">
      <c r="A188" s="4" t="s">
        <v>200</v>
      </c>
      <c r="B188" s="4">
        <v>1.22</v>
      </c>
      <c r="C188" s="4" t="s">
        <v>23</v>
      </c>
      <c r="D188" s="4" t="s">
        <v>9</v>
      </c>
    </row>
    <row r="189" spans="1:4" x14ac:dyDescent="0.35">
      <c r="A189" s="4" t="s">
        <v>201</v>
      </c>
      <c r="B189" s="4">
        <v>1.2</v>
      </c>
      <c r="C189" s="4" t="s">
        <v>23</v>
      </c>
      <c r="D189" s="4" t="s">
        <v>9</v>
      </c>
    </row>
    <row r="190" spans="1:4" x14ac:dyDescent="0.35">
      <c r="A190" s="4" t="s">
        <v>202</v>
      </c>
      <c r="B190" s="4">
        <v>10</v>
      </c>
      <c r="C190" s="4" t="s">
        <v>23</v>
      </c>
      <c r="D190" s="4" t="s">
        <v>9</v>
      </c>
    </row>
    <row r="191" spans="1:4" x14ac:dyDescent="0.35">
      <c r="A191" s="4" t="s">
        <v>203</v>
      </c>
      <c r="B191" s="4">
        <v>16</v>
      </c>
      <c r="C191" s="4" t="s">
        <v>23</v>
      </c>
      <c r="D191" s="4" t="s">
        <v>9</v>
      </c>
    </row>
    <row r="192" spans="1:4" x14ac:dyDescent="0.35">
      <c r="A192" s="4" t="s">
        <v>204</v>
      </c>
      <c r="B192" s="4">
        <v>44</v>
      </c>
      <c r="C192" s="4" t="s">
        <v>23</v>
      </c>
      <c r="D192" s="4" t="s">
        <v>9</v>
      </c>
    </row>
    <row r="193" spans="1:4" x14ac:dyDescent="0.35">
      <c r="A193" s="4" t="s">
        <v>205</v>
      </c>
      <c r="B193" s="4">
        <v>140</v>
      </c>
      <c r="C193" s="4" t="s">
        <v>23</v>
      </c>
      <c r="D193" s="4" t="s">
        <v>9</v>
      </c>
    </row>
    <row r="194" spans="1:4" x14ac:dyDescent="0.35">
      <c r="A194" s="4" t="s">
        <v>206</v>
      </c>
      <c r="B194" s="4">
        <v>300</v>
      </c>
      <c r="C194" s="4" t="s">
        <v>23</v>
      </c>
      <c r="D194" s="4" t="s">
        <v>9</v>
      </c>
    </row>
    <row r="195" spans="1:4" x14ac:dyDescent="0.35">
      <c r="A195" s="4" t="s">
        <v>207</v>
      </c>
      <c r="B195" s="4">
        <v>560</v>
      </c>
      <c r="C195" s="4" t="s">
        <v>23</v>
      </c>
      <c r="D195" s="4" t="s">
        <v>9</v>
      </c>
    </row>
    <row r="196" spans="1:4" x14ac:dyDescent="0.35">
      <c r="A196" s="4" t="s">
        <v>208</v>
      </c>
      <c r="B196" s="4">
        <v>900</v>
      </c>
      <c r="C196" s="4" t="s">
        <v>23</v>
      </c>
      <c r="D196" s="4" t="s">
        <v>9</v>
      </c>
    </row>
    <row r="197" spans="1:4" x14ac:dyDescent="0.35">
      <c r="A197" s="4" t="s">
        <v>209</v>
      </c>
      <c r="B197" s="4">
        <v>1300</v>
      </c>
      <c r="C197" s="4" t="s">
        <v>23</v>
      </c>
      <c r="D197" s="4" t="s">
        <v>9</v>
      </c>
    </row>
    <row r="198" spans="1:4" x14ac:dyDescent="0.35">
      <c r="A198" s="4" t="s">
        <v>210</v>
      </c>
      <c r="B198" s="4">
        <v>1800</v>
      </c>
      <c r="C198" s="4" t="s">
        <v>23</v>
      </c>
      <c r="D198" s="4" t="s">
        <v>9</v>
      </c>
    </row>
    <row r="199" spans="1:4" x14ac:dyDescent="0.35">
      <c r="A199" s="4" t="s">
        <v>211</v>
      </c>
      <c r="B199" s="4">
        <v>0.85</v>
      </c>
      <c r="C199" s="4" t="s">
        <v>23</v>
      </c>
      <c r="D199" s="4" t="s">
        <v>9</v>
      </c>
    </row>
    <row r="200" spans="1:4" x14ac:dyDescent="0.35">
      <c r="A200" s="4" t="s">
        <v>212</v>
      </c>
      <c r="B200" s="4">
        <v>10</v>
      </c>
      <c r="C200" s="4" t="s">
        <v>23</v>
      </c>
      <c r="D200" s="4" t="s">
        <v>9</v>
      </c>
    </row>
    <row r="201" spans="1:4" x14ac:dyDescent="0.35">
      <c r="A201" s="4" t="s">
        <v>213</v>
      </c>
      <c r="B201" s="4">
        <v>4</v>
      </c>
      <c r="C201" s="4" t="s">
        <v>23</v>
      </c>
      <c r="D201" s="4" t="s">
        <v>9</v>
      </c>
    </row>
    <row r="202" spans="1:4" x14ac:dyDescent="0.35">
      <c r="A202" s="4" t="s">
        <v>214</v>
      </c>
      <c r="B202" s="4">
        <v>16000</v>
      </c>
      <c r="C202" s="4" t="s">
        <v>23</v>
      </c>
      <c r="D202" s="4" t="s">
        <v>9</v>
      </c>
    </row>
    <row r="203" spans="1:4" x14ac:dyDescent="0.35">
      <c r="A203" s="4" t="s">
        <v>215</v>
      </c>
      <c r="B203" s="4">
        <v>190</v>
      </c>
      <c r="C203" s="4" t="s">
        <v>23</v>
      </c>
      <c r="D203" s="4" t="s">
        <v>9</v>
      </c>
    </row>
    <row r="204" spans="1:4" x14ac:dyDescent="0.35">
      <c r="A204" s="4" t="s">
        <v>216</v>
      </c>
      <c r="B204" s="4">
        <v>6</v>
      </c>
      <c r="C204" s="4" t="s">
        <v>23</v>
      </c>
      <c r="D204" s="4" t="s">
        <v>9</v>
      </c>
    </row>
    <row r="205" spans="1:4" x14ac:dyDescent="0.35">
      <c r="A205" s="4" t="s">
        <v>217</v>
      </c>
      <c r="B205" s="4">
        <v>7</v>
      </c>
      <c r="C205" s="4" t="s">
        <v>23</v>
      </c>
      <c r="D205" s="4" t="s">
        <v>9</v>
      </c>
    </row>
    <row r="206" spans="1:4" x14ac:dyDescent="0.35">
      <c r="A206" s="4" t="s">
        <v>218</v>
      </c>
      <c r="B206" s="4">
        <v>12</v>
      </c>
      <c r="C206" s="4" t="s">
        <v>23</v>
      </c>
      <c r="D206" s="4" t="s">
        <v>9</v>
      </c>
    </row>
    <row r="207" spans="1:4" x14ac:dyDescent="0.35">
      <c r="A207" s="4" t="s">
        <v>219</v>
      </c>
      <c r="B207" s="4">
        <v>4</v>
      </c>
      <c r="C207" s="4" t="s">
        <v>23</v>
      </c>
      <c r="D207" s="4" t="s">
        <v>9</v>
      </c>
    </row>
    <row r="208" spans="1:4" x14ac:dyDescent="0.35">
      <c r="A208" s="4" t="s">
        <v>220</v>
      </c>
      <c r="B208" s="4">
        <v>12</v>
      </c>
      <c r="C208" s="4" t="s">
        <v>23</v>
      </c>
      <c r="D208" s="4" t="s">
        <v>9</v>
      </c>
    </row>
    <row r="209" spans="1:4" x14ac:dyDescent="0.35">
      <c r="A209" s="4" t="s">
        <v>221</v>
      </c>
      <c r="B209" s="4">
        <v>1</v>
      </c>
      <c r="C209" s="4" t="s">
        <v>23</v>
      </c>
      <c r="D209" s="4" t="s">
        <v>9</v>
      </c>
    </row>
    <row r="210" spans="1:4" x14ac:dyDescent="0.35">
      <c r="A210" s="4" t="s">
        <v>222</v>
      </c>
      <c r="B210" s="4">
        <v>0.7</v>
      </c>
      <c r="C210" s="4" t="s">
        <v>23</v>
      </c>
      <c r="D210" s="4" t="s">
        <v>9</v>
      </c>
    </row>
    <row r="211" spans="1:4" x14ac:dyDescent="0.35">
      <c r="A211" s="4" t="s">
        <v>223</v>
      </c>
      <c r="B211" s="4">
        <v>0.3</v>
      </c>
      <c r="C211" s="4" t="s">
        <v>23</v>
      </c>
      <c r="D211" s="4" t="s">
        <v>9</v>
      </c>
    </row>
    <row r="212" spans="1:4" x14ac:dyDescent="0.35">
      <c r="A212" s="4" t="s">
        <v>224</v>
      </c>
      <c r="B212" s="4">
        <v>0.56999999999999995</v>
      </c>
      <c r="C212" s="4" t="s">
        <v>23</v>
      </c>
      <c r="D212" s="4" t="s">
        <v>9</v>
      </c>
    </row>
    <row r="213" spans="1:4" x14ac:dyDescent="0.35">
      <c r="A213" s="4" t="s">
        <v>225</v>
      </c>
      <c r="B213" s="4">
        <v>0.18</v>
      </c>
      <c r="C213" s="4" t="s">
        <v>23</v>
      </c>
      <c r="D213" s="4" t="s">
        <v>9</v>
      </c>
    </row>
    <row r="214" spans="1:4" x14ac:dyDescent="0.35">
      <c r="A214" s="4" t="s">
        <v>226</v>
      </c>
      <c r="B214" s="4">
        <v>0.2</v>
      </c>
      <c r="C214" s="4" t="s">
        <v>23</v>
      </c>
      <c r="D214" s="4" t="s">
        <v>9</v>
      </c>
    </row>
    <row r="215" spans="1:4" x14ac:dyDescent="0.35">
      <c r="A215" s="4" t="s">
        <v>227</v>
      </c>
      <c r="B215" s="4">
        <v>0.05</v>
      </c>
      <c r="C215" s="4" t="s">
        <v>23</v>
      </c>
      <c r="D215" s="4" t="s">
        <v>9</v>
      </c>
    </row>
    <row r="216" spans="1:4" x14ac:dyDescent="0.35">
      <c r="A216" s="4" t="s">
        <v>228</v>
      </c>
      <c r="B216" s="4">
        <v>0.03</v>
      </c>
      <c r="C216" s="4" t="s">
        <v>23</v>
      </c>
      <c r="D216" s="4" t="s">
        <v>9</v>
      </c>
    </row>
    <row r="217" spans="1:4" x14ac:dyDescent="0.35">
      <c r="A217" s="4" t="s">
        <v>229</v>
      </c>
      <c r="B217" s="4">
        <v>0.74</v>
      </c>
      <c r="C217" s="4" t="s">
        <v>23</v>
      </c>
      <c r="D217" s="4" t="s">
        <v>9</v>
      </c>
    </row>
    <row r="218" spans="1:4" x14ac:dyDescent="0.35">
      <c r="A218" s="4" t="s">
        <v>230</v>
      </c>
      <c r="B218" s="4">
        <v>2025</v>
      </c>
      <c r="C218" s="4" t="s">
        <v>23</v>
      </c>
      <c r="D218" s="4" t="s">
        <v>9</v>
      </c>
    </row>
    <row r="219" spans="1:4" x14ac:dyDescent="0.35">
      <c r="A219" s="4" t="s">
        <v>231</v>
      </c>
      <c r="B219" s="4">
        <v>2026</v>
      </c>
      <c r="C219" s="4" t="s">
        <v>23</v>
      </c>
      <c r="D219" s="4" t="s">
        <v>9</v>
      </c>
    </row>
    <row r="220" spans="1:4" x14ac:dyDescent="0.35">
      <c r="A220" s="4" t="s">
        <v>232</v>
      </c>
      <c r="B220" s="4">
        <v>2027</v>
      </c>
      <c r="C220" s="4" t="s">
        <v>23</v>
      </c>
      <c r="D220" s="4" t="s">
        <v>9</v>
      </c>
    </row>
    <row r="221" spans="1:4" x14ac:dyDescent="0.35">
      <c r="A221" s="4" t="s">
        <v>233</v>
      </c>
      <c r="B221" s="4">
        <v>2028</v>
      </c>
      <c r="C221" s="4" t="s">
        <v>23</v>
      </c>
      <c r="D221" s="4" t="s">
        <v>9</v>
      </c>
    </row>
    <row r="222" spans="1:4" x14ac:dyDescent="0.35">
      <c r="A222" s="4" t="s">
        <v>234</v>
      </c>
      <c r="B222" s="4">
        <v>2029</v>
      </c>
      <c r="C222" s="4" t="s">
        <v>23</v>
      </c>
      <c r="D222" s="4" t="s">
        <v>9</v>
      </c>
    </row>
    <row r="223" spans="1:4" x14ac:dyDescent="0.35">
      <c r="A223" s="4" t="s">
        <v>235</v>
      </c>
      <c r="B223" s="4">
        <v>0.28000000000000003</v>
      </c>
      <c r="C223" s="4" t="s">
        <v>23</v>
      </c>
      <c r="D223" s="4" t="s">
        <v>9</v>
      </c>
    </row>
    <row r="224" spans="1:4" x14ac:dyDescent="0.35">
      <c r="A224" s="4" t="s">
        <v>236</v>
      </c>
      <c r="B224" s="4">
        <v>0.46</v>
      </c>
      <c r="C224" s="4" t="s">
        <v>23</v>
      </c>
      <c r="D224" s="4" t="s">
        <v>9</v>
      </c>
    </row>
    <row r="225" spans="1:4" x14ac:dyDescent="0.35">
      <c r="A225" s="4" t="s">
        <v>237</v>
      </c>
      <c r="B225" s="4">
        <v>0.57999999999999996</v>
      </c>
      <c r="C225" s="4" t="s">
        <v>23</v>
      </c>
      <c r="D225" s="4" t="s">
        <v>9</v>
      </c>
    </row>
    <row r="226" spans="1:4" x14ac:dyDescent="0.35">
      <c r="A226" s="4" t="s">
        <v>238</v>
      </c>
      <c r="B226" s="4">
        <v>0.66</v>
      </c>
      <c r="C226" s="4" t="s">
        <v>23</v>
      </c>
      <c r="D226" s="4" t="s">
        <v>9</v>
      </c>
    </row>
    <row r="227" spans="1:4" x14ac:dyDescent="0.35">
      <c r="A227" s="4" t="s">
        <v>239</v>
      </c>
      <c r="B227" s="4">
        <v>0.71</v>
      </c>
      <c r="C227" s="4" t="s">
        <v>23</v>
      </c>
      <c r="D227" s="4" t="s">
        <v>9</v>
      </c>
    </row>
    <row r="228" spans="1:4" x14ac:dyDescent="0.35">
      <c r="A228" s="4" t="s">
        <v>240</v>
      </c>
      <c r="B228" s="4">
        <v>55</v>
      </c>
      <c r="C228" s="4" t="s">
        <v>23</v>
      </c>
      <c r="D228" s="4" t="s">
        <v>9</v>
      </c>
    </row>
    <row r="229" spans="1:4" x14ac:dyDescent="0.35">
      <c r="A229" s="4" t="s">
        <v>241</v>
      </c>
      <c r="B229" s="4">
        <v>44</v>
      </c>
      <c r="C229" s="4" t="s">
        <v>23</v>
      </c>
      <c r="D229" s="4" t="s">
        <v>9</v>
      </c>
    </row>
    <row r="230" spans="1:4" x14ac:dyDescent="0.35">
      <c r="A230" s="4" t="s">
        <v>242</v>
      </c>
      <c r="B230" s="4">
        <v>39</v>
      </c>
      <c r="C230" s="4" t="s">
        <v>23</v>
      </c>
      <c r="D230" s="4" t="s">
        <v>9</v>
      </c>
    </row>
    <row r="231" spans="1:4" x14ac:dyDescent="0.35">
      <c r="A231" s="4" t="s">
        <v>243</v>
      </c>
      <c r="B231" s="4">
        <v>35</v>
      </c>
      <c r="C231" s="4" t="s">
        <v>23</v>
      </c>
      <c r="D231" s="4" t="s">
        <v>9</v>
      </c>
    </row>
    <row r="232" spans="1:4" x14ac:dyDescent="0.35">
      <c r="A232" s="4" t="s">
        <v>244</v>
      </c>
      <c r="B232" s="4">
        <v>32</v>
      </c>
      <c r="C232" s="4" t="s">
        <v>23</v>
      </c>
      <c r="D232" s="4" t="s">
        <v>9</v>
      </c>
    </row>
    <row r="233" spans="1:4" x14ac:dyDescent="0.35">
      <c r="A233" s="4" t="s">
        <v>245</v>
      </c>
      <c r="B233" s="4">
        <v>9</v>
      </c>
      <c r="C233" s="4" t="s">
        <v>23</v>
      </c>
      <c r="D233" s="4" t="s">
        <v>9</v>
      </c>
    </row>
    <row r="234" spans="1:4" x14ac:dyDescent="0.35">
      <c r="A234" s="4" t="s">
        <v>246</v>
      </c>
      <c r="B234" s="4">
        <v>6</v>
      </c>
      <c r="C234" s="4" t="s">
        <v>23</v>
      </c>
      <c r="D234" s="4" t="s">
        <v>9</v>
      </c>
    </row>
    <row r="235" spans="1:4" x14ac:dyDescent="0.35">
      <c r="A235" s="4" t="s">
        <v>247</v>
      </c>
      <c r="B235" s="4">
        <v>5</v>
      </c>
      <c r="C235" s="4" t="s">
        <v>23</v>
      </c>
      <c r="D235" s="4" t="s">
        <v>9</v>
      </c>
    </row>
    <row r="236" spans="1:4" x14ac:dyDescent="0.35">
      <c r="A236" s="4" t="s">
        <v>248</v>
      </c>
      <c r="B236" s="4">
        <v>4.5</v>
      </c>
      <c r="C236" s="4" t="s">
        <v>23</v>
      </c>
      <c r="D236" s="4" t="s">
        <v>9</v>
      </c>
    </row>
    <row r="237" spans="1:4" x14ac:dyDescent="0.35">
      <c r="A237" s="4" t="s">
        <v>249</v>
      </c>
      <c r="B237" s="4">
        <v>4</v>
      </c>
      <c r="C237" s="4" t="s">
        <v>23</v>
      </c>
      <c r="D237" s="4" t="s">
        <v>9</v>
      </c>
    </row>
    <row r="238" spans="1:4" x14ac:dyDescent="0.35">
      <c r="A238" s="4" t="s">
        <v>250</v>
      </c>
      <c r="B238" s="4">
        <v>145</v>
      </c>
      <c r="C238" s="4" t="s">
        <v>23</v>
      </c>
      <c r="D238" s="4" t="s">
        <v>9</v>
      </c>
    </row>
    <row r="239" spans="1:4" x14ac:dyDescent="0.35">
      <c r="A239" s="4" t="s">
        <v>251</v>
      </c>
      <c r="B239" s="4">
        <v>120</v>
      </c>
      <c r="C239" s="4" t="s">
        <v>23</v>
      </c>
      <c r="D239" s="4" t="s">
        <v>9</v>
      </c>
    </row>
    <row r="240" spans="1:4" x14ac:dyDescent="0.35">
      <c r="A240" s="4" t="s">
        <v>252</v>
      </c>
      <c r="B240" s="4">
        <v>105</v>
      </c>
      <c r="C240" s="4" t="s">
        <v>23</v>
      </c>
      <c r="D240" s="4" t="s">
        <v>9</v>
      </c>
    </row>
    <row r="241" spans="1:4" x14ac:dyDescent="0.35">
      <c r="A241" s="4" t="s">
        <v>253</v>
      </c>
      <c r="B241" s="4">
        <v>95</v>
      </c>
      <c r="C241" s="4" t="s">
        <v>23</v>
      </c>
      <c r="D241" s="4" t="s">
        <v>9</v>
      </c>
    </row>
    <row r="242" spans="1:4" x14ac:dyDescent="0.35">
      <c r="A242" s="4" t="s">
        <v>254</v>
      </c>
      <c r="B242" s="4">
        <v>90</v>
      </c>
      <c r="C242" s="4" t="s">
        <v>23</v>
      </c>
      <c r="D242" s="4" t="s">
        <v>9</v>
      </c>
    </row>
    <row r="243" spans="1:4" x14ac:dyDescent="0.35">
      <c r="A243" s="4" t="s">
        <v>255</v>
      </c>
      <c r="B243" s="4">
        <v>19</v>
      </c>
      <c r="C243" s="4" t="s">
        <v>23</v>
      </c>
      <c r="D243" s="4" t="s">
        <v>9</v>
      </c>
    </row>
    <row r="244" spans="1:4" x14ac:dyDescent="0.35">
      <c r="A244" s="4" t="s">
        <v>256</v>
      </c>
      <c r="B244" s="4">
        <v>14</v>
      </c>
      <c r="C244" s="4" t="s">
        <v>23</v>
      </c>
      <c r="D244" s="4" t="s">
        <v>9</v>
      </c>
    </row>
    <row r="245" spans="1:4" x14ac:dyDescent="0.35">
      <c r="A245" s="4" t="s">
        <v>257</v>
      </c>
      <c r="B245" s="4">
        <v>12</v>
      </c>
      <c r="C245" s="4" t="s">
        <v>23</v>
      </c>
      <c r="D245" s="4" t="s">
        <v>9</v>
      </c>
    </row>
    <row r="246" spans="1:4" x14ac:dyDescent="0.35">
      <c r="A246" s="4" t="s">
        <v>258</v>
      </c>
      <c r="B246" s="4">
        <v>10</v>
      </c>
      <c r="C246" s="4" t="s">
        <v>23</v>
      </c>
      <c r="D246" s="4" t="s">
        <v>9</v>
      </c>
    </row>
    <row r="247" spans="1:4" x14ac:dyDescent="0.35">
      <c r="A247" s="4" t="s">
        <v>259</v>
      </c>
      <c r="B247" s="4">
        <v>9</v>
      </c>
      <c r="C247" s="4" t="s">
        <v>23</v>
      </c>
      <c r="D247" s="4" t="s">
        <v>9</v>
      </c>
    </row>
    <row r="248" spans="1:4" x14ac:dyDescent="0.35">
      <c r="A248" s="4" t="s">
        <v>260</v>
      </c>
      <c r="B248" s="4">
        <v>3.2</v>
      </c>
      <c r="C248" s="4" t="s">
        <v>23</v>
      </c>
      <c r="D248" s="4" t="s">
        <v>9</v>
      </c>
    </row>
    <row r="249" spans="1:4" x14ac:dyDescent="0.35">
      <c r="A249" s="4" t="s">
        <v>261</v>
      </c>
      <c r="B249" s="4">
        <v>4.2</v>
      </c>
      <c r="C249" s="4" t="s">
        <v>23</v>
      </c>
      <c r="D249" s="4" t="s">
        <v>9</v>
      </c>
    </row>
    <row r="250" spans="1:4" x14ac:dyDescent="0.35">
      <c r="A250" s="4" t="s">
        <v>262</v>
      </c>
      <c r="B250" s="4">
        <v>5</v>
      </c>
      <c r="C250" s="4" t="s">
        <v>23</v>
      </c>
      <c r="D250" s="4" t="s">
        <v>9</v>
      </c>
    </row>
    <row r="251" spans="1:4" x14ac:dyDescent="0.35">
      <c r="A251" s="4" t="s">
        <v>263</v>
      </c>
      <c r="B251" s="4">
        <v>5.6</v>
      </c>
      <c r="C251" s="4" t="s">
        <v>23</v>
      </c>
      <c r="D251" s="4" t="s">
        <v>9</v>
      </c>
    </row>
    <row r="252" spans="1:4" x14ac:dyDescent="0.35">
      <c r="A252" s="4" t="s">
        <v>264</v>
      </c>
      <c r="B252" s="4">
        <v>6</v>
      </c>
      <c r="C252" s="4" t="s">
        <v>23</v>
      </c>
      <c r="D252" s="4" t="s">
        <v>9</v>
      </c>
    </row>
    <row r="253" spans="1:4" x14ac:dyDescent="0.35">
      <c r="A253" s="4" t="s">
        <v>265</v>
      </c>
      <c r="B253" s="4">
        <v>100</v>
      </c>
      <c r="C253" s="4" t="s">
        <v>23</v>
      </c>
      <c r="D253" s="4" t="s">
        <v>9</v>
      </c>
    </row>
    <row r="254" spans="1:4" x14ac:dyDescent="0.35">
      <c r="A254" s="4" t="s">
        <v>266</v>
      </c>
      <c r="B254" s="4">
        <v>72</v>
      </c>
      <c r="C254" s="4" t="s">
        <v>23</v>
      </c>
      <c r="D254" s="4" t="s">
        <v>9</v>
      </c>
    </row>
    <row r="255" spans="1:4" x14ac:dyDescent="0.35">
      <c r="A255" s="4" t="s">
        <v>267</v>
      </c>
      <c r="B255" s="4">
        <v>54</v>
      </c>
      <c r="C255" s="4" t="s">
        <v>23</v>
      </c>
      <c r="D255" s="4" t="s">
        <v>9</v>
      </c>
    </row>
    <row r="256" spans="1:4" x14ac:dyDescent="0.35">
      <c r="A256" s="4" t="s">
        <v>268</v>
      </c>
      <c r="B256" s="4">
        <v>42</v>
      </c>
      <c r="C256" s="4" t="s">
        <v>23</v>
      </c>
      <c r="D256" s="4" t="s">
        <v>9</v>
      </c>
    </row>
    <row r="257" spans="1:4" x14ac:dyDescent="0.35">
      <c r="A257" s="4" t="s">
        <v>269</v>
      </c>
      <c r="B257" s="4">
        <v>35</v>
      </c>
      <c r="C257" s="4" t="s">
        <v>23</v>
      </c>
      <c r="D257" s="4" t="s">
        <v>9</v>
      </c>
    </row>
    <row r="258" spans="1:4" x14ac:dyDescent="0.35">
      <c r="A258" s="4" t="s">
        <v>270</v>
      </c>
      <c r="B258" s="4" t="s">
        <v>271</v>
      </c>
      <c r="C258" s="4" t="s">
        <v>8</v>
      </c>
      <c r="D258" s="4" t="s">
        <v>9</v>
      </c>
    </row>
    <row r="259" spans="1:4" x14ac:dyDescent="0.35">
      <c r="A259" s="4" t="s">
        <v>272</v>
      </c>
      <c r="B259" s="4">
        <v>880</v>
      </c>
      <c r="C259" s="4" t="s">
        <v>23</v>
      </c>
      <c r="D259" s="4" t="s">
        <v>9</v>
      </c>
    </row>
    <row r="260" spans="1:4" x14ac:dyDescent="0.35">
      <c r="A260" s="4" t="s">
        <v>273</v>
      </c>
      <c r="B260" s="4">
        <v>510</v>
      </c>
      <c r="C260" s="4" t="s">
        <v>23</v>
      </c>
      <c r="D260" s="4" t="s">
        <v>9</v>
      </c>
    </row>
    <row r="261" spans="1:4" x14ac:dyDescent="0.35">
      <c r="A261" s="4" t="s">
        <v>274</v>
      </c>
      <c r="B261" s="4">
        <v>310</v>
      </c>
      <c r="C261" s="4" t="s">
        <v>23</v>
      </c>
      <c r="D261" s="4" t="s">
        <v>9</v>
      </c>
    </row>
    <row r="262" spans="1:4" x14ac:dyDescent="0.35">
      <c r="A262" s="4" t="s">
        <v>275</v>
      </c>
      <c r="B262" s="4">
        <v>260</v>
      </c>
      <c r="C262" s="4" t="s">
        <v>23</v>
      </c>
      <c r="D262" s="4" t="s">
        <v>9</v>
      </c>
    </row>
    <row r="263" spans="1:4" x14ac:dyDescent="0.35">
      <c r="A263" s="4" t="s">
        <v>276</v>
      </c>
      <c r="B263" s="4">
        <v>3.4</v>
      </c>
      <c r="C263" s="4" t="s">
        <v>23</v>
      </c>
      <c r="D263" s="4" t="s">
        <v>9</v>
      </c>
    </row>
    <row r="264" spans="1:4" x14ac:dyDescent="0.35">
      <c r="A264" s="4" t="s">
        <v>277</v>
      </c>
      <c r="B264" s="4">
        <v>0.24</v>
      </c>
      <c r="C264" s="4" t="s">
        <v>23</v>
      </c>
      <c r="D264" s="4" t="s">
        <v>9</v>
      </c>
    </row>
    <row r="265" spans="1:4" x14ac:dyDescent="0.35">
      <c r="A265" s="4" t="s">
        <v>278</v>
      </c>
      <c r="B265" s="4">
        <v>78</v>
      </c>
      <c r="C265" s="4" t="s">
        <v>23</v>
      </c>
      <c r="D265" s="4" t="s">
        <v>9</v>
      </c>
    </row>
    <row r="266" spans="1:4" x14ac:dyDescent="0.35">
      <c r="A266" s="4" t="s">
        <v>279</v>
      </c>
      <c r="B266" s="4">
        <v>0.64</v>
      </c>
      <c r="C266" s="4" t="s">
        <v>23</v>
      </c>
      <c r="D266" s="4" t="s">
        <v>9</v>
      </c>
    </row>
    <row r="267" spans="1:4" x14ac:dyDescent="0.35">
      <c r="A267" s="4" t="s">
        <v>280</v>
      </c>
      <c r="B267" s="4">
        <v>96</v>
      </c>
      <c r="C267" s="4" t="s">
        <v>23</v>
      </c>
      <c r="D267" s="4" t="s">
        <v>9</v>
      </c>
    </row>
    <row r="268" spans="1:4" x14ac:dyDescent="0.35">
      <c r="A268" s="4" t="s">
        <v>281</v>
      </c>
      <c r="B268" s="4">
        <v>1.2</v>
      </c>
      <c r="C268" s="4" t="s">
        <v>23</v>
      </c>
      <c r="D268" s="4" t="s">
        <v>9</v>
      </c>
    </row>
    <row r="269" spans="1:4" x14ac:dyDescent="0.35">
      <c r="A269" s="4" t="s">
        <v>282</v>
      </c>
      <c r="B269" s="4">
        <v>6</v>
      </c>
      <c r="C269" s="4" t="s">
        <v>23</v>
      </c>
      <c r="D269" s="4" t="s">
        <v>9</v>
      </c>
    </row>
    <row r="270" spans="1:4" x14ac:dyDescent="0.35">
      <c r="A270" s="4" t="s">
        <v>283</v>
      </c>
      <c r="B270" s="4">
        <v>2023</v>
      </c>
      <c r="C270" s="4" t="s">
        <v>23</v>
      </c>
      <c r="D270" s="4" t="s">
        <v>9</v>
      </c>
    </row>
    <row r="271" spans="1:4" x14ac:dyDescent="0.35">
      <c r="A271" s="4" t="s">
        <v>284</v>
      </c>
      <c r="B271" s="4">
        <v>2024</v>
      </c>
      <c r="C271" s="4" t="s">
        <v>23</v>
      </c>
      <c r="D271" s="4" t="s">
        <v>9</v>
      </c>
    </row>
    <row r="272" spans="1:4" x14ac:dyDescent="0.35">
      <c r="A272" s="4" t="s">
        <v>285</v>
      </c>
      <c r="B272" s="4">
        <v>2025</v>
      </c>
      <c r="C272" s="4" t="s">
        <v>23</v>
      </c>
      <c r="D272" s="4" t="s">
        <v>9</v>
      </c>
    </row>
    <row r="273" spans="1:4" x14ac:dyDescent="0.35">
      <c r="A273" s="4" t="s">
        <v>286</v>
      </c>
      <c r="B273" s="4">
        <v>2026</v>
      </c>
      <c r="C273" s="4" t="s">
        <v>23</v>
      </c>
      <c r="D273" s="4" t="s">
        <v>9</v>
      </c>
    </row>
    <row r="274" spans="1:4" x14ac:dyDescent="0.35">
      <c r="A274" s="4" t="s">
        <v>287</v>
      </c>
      <c r="B274" s="4">
        <v>8</v>
      </c>
      <c r="C274" s="4" t="s">
        <v>23</v>
      </c>
      <c r="D274" s="4" t="s">
        <v>9</v>
      </c>
    </row>
    <row r="275" spans="1:4" x14ac:dyDescent="0.35">
      <c r="A275" s="4" t="s">
        <v>288</v>
      </c>
      <c r="B275" s="4">
        <v>22</v>
      </c>
      <c r="C275" s="4" t="s">
        <v>23</v>
      </c>
      <c r="D275" s="4" t="s">
        <v>9</v>
      </c>
    </row>
    <row r="276" spans="1:4" x14ac:dyDescent="0.35">
      <c r="A276" s="4" t="s">
        <v>289</v>
      </c>
      <c r="B276" s="4">
        <v>86</v>
      </c>
      <c r="C276" s="4" t="s">
        <v>23</v>
      </c>
      <c r="D276" s="4" t="s">
        <v>9</v>
      </c>
    </row>
    <row r="277" spans="1:4" x14ac:dyDescent="0.35">
      <c r="A277" s="4" t="s">
        <v>290</v>
      </c>
      <c r="B277" s="4">
        <v>240</v>
      </c>
      <c r="C277" s="4" t="s">
        <v>23</v>
      </c>
      <c r="D277" s="4" t="s">
        <v>9</v>
      </c>
    </row>
    <row r="278" spans="1:4" x14ac:dyDescent="0.35">
      <c r="A278" s="4" t="s">
        <v>291</v>
      </c>
      <c r="B278" s="4">
        <v>1.1200000000000001</v>
      </c>
      <c r="C278" s="4" t="s">
        <v>23</v>
      </c>
      <c r="D278" s="4" t="s">
        <v>9</v>
      </c>
    </row>
    <row r="279" spans="1:4" x14ac:dyDescent="0.35">
      <c r="A279" s="4" t="s">
        <v>292</v>
      </c>
      <c r="B279" s="4">
        <v>1.22</v>
      </c>
      <c r="C279" s="4" t="s">
        <v>23</v>
      </c>
      <c r="D279" s="4" t="s">
        <v>9</v>
      </c>
    </row>
    <row r="280" spans="1:4" x14ac:dyDescent="0.35">
      <c r="A280" s="4" t="s">
        <v>293</v>
      </c>
      <c r="B280" s="4">
        <v>1.35</v>
      </c>
      <c r="C280" s="4" t="s">
        <v>23</v>
      </c>
      <c r="D280" s="4" t="s">
        <v>9</v>
      </c>
    </row>
    <row r="281" spans="1:4" x14ac:dyDescent="0.35">
      <c r="A281" s="4" t="s">
        <v>294</v>
      </c>
      <c r="B281" s="4">
        <v>1.38</v>
      </c>
      <c r="C281" s="4" t="s">
        <v>23</v>
      </c>
      <c r="D281" s="4" t="s">
        <v>9</v>
      </c>
    </row>
    <row r="282" spans="1:4" x14ac:dyDescent="0.35">
      <c r="A282" s="4" t="s">
        <v>295</v>
      </c>
      <c r="B282" s="4">
        <v>1.28</v>
      </c>
      <c r="C282" s="4" t="s">
        <v>23</v>
      </c>
      <c r="D282" s="4" t="s">
        <v>9</v>
      </c>
    </row>
    <row r="283" spans="1:4" x14ac:dyDescent="0.35">
      <c r="A283" s="4" t="s">
        <v>296</v>
      </c>
      <c r="B283" s="4">
        <v>1.48</v>
      </c>
      <c r="C283" s="4" t="s">
        <v>23</v>
      </c>
      <c r="D283" s="4" t="s">
        <v>9</v>
      </c>
    </row>
    <row r="284" spans="1:4" x14ac:dyDescent="0.35">
      <c r="A284" s="4" t="s">
        <v>297</v>
      </c>
      <c r="B284" s="4">
        <v>1.62</v>
      </c>
      <c r="C284" s="4" t="s">
        <v>23</v>
      </c>
      <c r="D284" s="4" t="s">
        <v>9</v>
      </c>
    </row>
    <row r="285" spans="1:4" x14ac:dyDescent="0.35">
      <c r="A285" s="4" t="s">
        <v>298</v>
      </c>
      <c r="B285" s="4"/>
      <c r="C285" s="4" t="s">
        <v>299</v>
      </c>
      <c r="D285" s="4" t="s">
        <v>9</v>
      </c>
    </row>
    <row r="286" spans="1:4" x14ac:dyDescent="0.35">
      <c r="A286" s="4" t="s">
        <v>300</v>
      </c>
      <c r="B286" s="4">
        <v>1.42</v>
      </c>
      <c r="C286" s="4" t="s">
        <v>23</v>
      </c>
      <c r="D286" s="4" t="s">
        <v>9</v>
      </c>
    </row>
    <row r="287" spans="1:4" x14ac:dyDescent="0.35">
      <c r="A287" s="4" t="s">
        <v>301</v>
      </c>
      <c r="B287" s="4">
        <v>1.7</v>
      </c>
      <c r="C287" s="4" t="s">
        <v>23</v>
      </c>
      <c r="D287" s="4" t="s">
        <v>9</v>
      </c>
    </row>
    <row r="288" spans="1:4" x14ac:dyDescent="0.35">
      <c r="A288" s="4" t="s">
        <v>302</v>
      </c>
      <c r="B288" s="4"/>
      <c r="C288" s="4" t="s">
        <v>299</v>
      </c>
      <c r="D288" s="4" t="s">
        <v>9</v>
      </c>
    </row>
    <row r="289" spans="1:4" x14ac:dyDescent="0.35">
      <c r="A289" s="4" t="s">
        <v>303</v>
      </c>
      <c r="B289" s="4"/>
      <c r="C289" s="4" t="s">
        <v>299</v>
      </c>
      <c r="D289" s="4" t="s">
        <v>9</v>
      </c>
    </row>
    <row r="290" spans="1:4" x14ac:dyDescent="0.35">
      <c r="A290" s="4" t="s">
        <v>304</v>
      </c>
      <c r="B290" s="4" t="s">
        <v>305</v>
      </c>
      <c r="C290" s="4" t="s">
        <v>8</v>
      </c>
      <c r="D290" s="4" t="s">
        <v>9</v>
      </c>
    </row>
    <row r="291" spans="1:4" x14ac:dyDescent="0.35">
      <c r="A291" s="4" t="s">
        <v>306</v>
      </c>
      <c r="B291" s="4">
        <v>125</v>
      </c>
      <c r="C291" s="4" t="s">
        <v>23</v>
      </c>
      <c r="D291" s="4" t="s">
        <v>9</v>
      </c>
    </row>
    <row r="292" spans="1:4" x14ac:dyDescent="0.35">
      <c r="A292" s="4" t="s">
        <v>307</v>
      </c>
      <c r="B292" s="4">
        <v>400</v>
      </c>
      <c r="C292" s="4" t="s">
        <v>23</v>
      </c>
      <c r="D292" s="4" t="s">
        <v>9</v>
      </c>
    </row>
    <row r="293" spans="1:4" x14ac:dyDescent="0.35">
      <c r="A293" s="4" t="s">
        <v>308</v>
      </c>
      <c r="B293" s="4">
        <v>20000</v>
      </c>
      <c r="C293" s="4" t="s">
        <v>23</v>
      </c>
      <c r="D293" s="4" t="s">
        <v>9</v>
      </c>
    </row>
    <row r="294" spans="1:4" x14ac:dyDescent="0.35">
      <c r="A294" s="4" t="s">
        <v>309</v>
      </c>
      <c r="B294" s="4" t="s">
        <v>310</v>
      </c>
      <c r="C294" s="4" t="s">
        <v>8</v>
      </c>
      <c r="D294" s="4" t="s">
        <v>9</v>
      </c>
    </row>
    <row r="295" spans="1:4" x14ac:dyDescent="0.35">
      <c r="A295" s="4" t="s">
        <v>311</v>
      </c>
      <c r="B295" s="4" t="s">
        <v>312</v>
      </c>
      <c r="C295" s="4" t="s">
        <v>8</v>
      </c>
      <c r="D295" s="4" t="s">
        <v>9</v>
      </c>
    </row>
    <row r="296" spans="1:4" x14ac:dyDescent="0.35">
      <c r="A296" s="4" t="s">
        <v>313</v>
      </c>
      <c r="B296" s="4">
        <v>200</v>
      </c>
      <c r="C296" s="4" t="s">
        <v>23</v>
      </c>
      <c r="D296" s="4" t="s">
        <v>9</v>
      </c>
    </row>
    <row r="297" spans="1:4" x14ac:dyDescent="0.35">
      <c r="A297" s="4" t="s">
        <v>314</v>
      </c>
      <c r="B297" s="4">
        <v>480</v>
      </c>
      <c r="C297" s="4" t="s">
        <v>23</v>
      </c>
      <c r="D297" s="4" t="s">
        <v>9</v>
      </c>
    </row>
    <row r="298" spans="1:4" x14ac:dyDescent="0.35">
      <c r="A298" s="4" t="s">
        <v>315</v>
      </c>
      <c r="B298" s="4">
        <v>35000</v>
      </c>
      <c r="C298" s="4" t="s">
        <v>23</v>
      </c>
      <c r="D298" s="4" t="s">
        <v>9</v>
      </c>
    </row>
    <row r="299" spans="1:4" x14ac:dyDescent="0.35">
      <c r="A299" s="4" t="s">
        <v>316</v>
      </c>
      <c r="B299" s="4" t="s">
        <v>317</v>
      </c>
      <c r="C299" s="4" t="s">
        <v>8</v>
      </c>
      <c r="D299" s="4" t="s">
        <v>9</v>
      </c>
    </row>
    <row r="300" spans="1:4" ht="23" x14ac:dyDescent="0.35">
      <c r="A300" s="4" t="s">
        <v>318</v>
      </c>
      <c r="B300" s="4" t="s">
        <v>319</v>
      </c>
      <c r="C300" s="4" t="s">
        <v>8</v>
      </c>
      <c r="D300" s="4" t="s">
        <v>9</v>
      </c>
    </row>
    <row r="301" spans="1:4" x14ac:dyDescent="0.35">
      <c r="A301" s="4" t="s">
        <v>320</v>
      </c>
      <c r="B301" s="4">
        <v>45</v>
      </c>
      <c r="C301" s="4" t="s">
        <v>23</v>
      </c>
      <c r="D301" s="4" t="s">
        <v>9</v>
      </c>
    </row>
    <row r="302" spans="1:4" x14ac:dyDescent="0.35">
      <c r="A302" s="4" t="s">
        <v>321</v>
      </c>
      <c r="B302" s="4">
        <v>1200</v>
      </c>
      <c r="C302" s="4" t="s">
        <v>23</v>
      </c>
      <c r="D302" s="4" t="s">
        <v>9</v>
      </c>
    </row>
    <row r="303" spans="1:4" x14ac:dyDescent="0.35">
      <c r="A303" s="4" t="s">
        <v>322</v>
      </c>
      <c r="B303" s="4">
        <v>20000</v>
      </c>
      <c r="C303" s="4" t="s">
        <v>23</v>
      </c>
      <c r="D303" s="4" t="s">
        <v>9</v>
      </c>
    </row>
    <row r="304" spans="1:4" x14ac:dyDescent="0.35">
      <c r="A304" s="4" t="s">
        <v>323</v>
      </c>
      <c r="B304" s="4" t="s">
        <v>324</v>
      </c>
      <c r="C304" s="4" t="s">
        <v>8</v>
      </c>
      <c r="D304" s="4" t="s">
        <v>9</v>
      </c>
    </row>
    <row r="305" spans="1:4" ht="23" x14ac:dyDescent="0.35">
      <c r="A305" s="4" t="s">
        <v>325</v>
      </c>
      <c r="B305" s="4" t="s">
        <v>326</v>
      </c>
      <c r="C305" s="4" t="s">
        <v>8</v>
      </c>
      <c r="D305" s="4" t="s">
        <v>9</v>
      </c>
    </row>
    <row r="306" spans="1:4" x14ac:dyDescent="0.35">
      <c r="A306" s="4" t="s">
        <v>327</v>
      </c>
      <c r="B306" s="4">
        <v>25</v>
      </c>
      <c r="C306" s="4" t="s">
        <v>23</v>
      </c>
      <c r="D306" s="4" t="s">
        <v>9</v>
      </c>
    </row>
    <row r="307" spans="1:4" x14ac:dyDescent="0.35">
      <c r="A307" s="4" t="s">
        <v>328</v>
      </c>
      <c r="B307" s="4">
        <v>2000</v>
      </c>
      <c r="C307" s="4" t="s">
        <v>23</v>
      </c>
      <c r="D307" s="4" t="s">
        <v>9</v>
      </c>
    </row>
    <row r="308" spans="1:4" x14ac:dyDescent="0.35">
      <c r="A308" s="4" t="s">
        <v>329</v>
      </c>
      <c r="B308" s="4">
        <v>15000</v>
      </c>
      <c r="C308" s="4" t="s">
        <v>23</v>
      </c>
      <c r="D308" s="4" t="s">
        <v>9</v>
      </c>
    </row>
    <row r="309" spans="1:4" x14ac:dyDescent="0.35">
      <c r="A309" s="4" t="s">
        <v>330</v>
      </c>
      <c r="B309" s="4" t="s">
        <v>331</v>
      </c>
      <c r="C309" s="4" t="s">
        <v>8</v>
      </c>
      <c r="D309" s="4" t="s">
        <v>9</v>
      </c>
    </row>
    <row r="310" spans="1:4" ht="23" x14ac:dyDescent="0.35">
      <c r="A310" s="4" t="s">
        <v>332</v>
      </c>
      <c r="B310" s="4" t="s">
        <v>333</v>
      </c>
      <c r="C310" s="4" t="s">
        <v>8</v>
      </c>
      <c r="D310" s="4" t="s">
        <v>9</v>
      </c>
    </row>
    <row r="311" spans="1:4" x14ac:dyDescent="0.35">
      <c r="A311" s="4" t="s">
        <v>334</v>
      </c>
      <c r="B311" s="4">
        <v>220</v>
      </c>
      <c r="C311" s="4" t="s">
        <v>23</v>
      </c>
      <c r="D311" s="4" t="s">
        <v>9</v>
      </c>
    </row>
    <row r="312" spans="1:4" x14ac:dyDescent="0.35">
      <c r="A312" s="4" t="s">
        <v>335</v>
      </c>
      <c r="B312" s="4">
        <v>0.27500000000000002</v>
      </c>
      <c r="C312" s="4" t="s">
        <v>23</v>
      </c>
      <c r="D312" s="4" t="s">
        <v>9</v>
      </c>
    </row>
    <row r="313" spans="1:4" ht="34.5" x14ac:dyDescent="0.35">
      <c r="A313" s="4" t="s">
        <v>336</v>
      </c>
      <c r="B313" s="4" t="s">
        <v>337</v>
      </c>
      <c r="C313" s="4" t="s">
        <v>8</v>
      </c>
      <c r="D313" s="4" t="s">
        <v>9</v>
      </c>
    </row>
    <row r="314" spans="1:4" x14ac:dyDescent="0.35">
      <c r="A314" s="4" t="s">
        <v>338</v>
      </c>
      <c r="B314" s="4" t="s">
        <v>310</v>
      </c>
      <c r="C314" s="4" t="s">
        <v>8</v>
      </c>
      <c r="D314" s="4" t="s">
        <v>9</v>
      </c>
    </row>
    <row r="315" spans="1:4" x14ac:dyDescent="0.35">
      <c r="A315" s="4" t="s">
        <v>339</v>
      </c>
      <c r="B315" s="4" t="s">
        <v>340</v>
      </c>
      <c r="C315" s="4" t="s">
        <v>8</v>
      </c>
      <c r="D315" s="4" t="s">
        <v>9</v>
      </c>
    </row>
    <row r="316" spans="1:4" x14ac:dyDescent="0.35">
      <c r="A316" s="4" t="s">
        <v>341</v>
      </c>
      <c r="B316" s="4">
        <v>160</v>
      </c>
      <c r="C316" s="4" t="s">
        <v>23</v>
      </c>
      <c r="D316" s="4" t="s">
        <v>9</v>
      </c>
    </row>
    <row r="317" spans="1:4" x14ac:dyDescent="0.35">
      <c r="A317" s="4" t="s">
        <v>342</v>
      </c>
      <c r="B317" s="4">
        <v>0.2</v>
      </c>
      <c r="C317" s="4" t="s">
        <v>23</v>
      </c>
      <c r="D317" s="4" t="s">
        <v>9</v>
      </c>
    </row>
    <row r="318" spans="1:4" ht="34.5" x14ac:dyDescent="0.35">
      <c r="A318" s="4" t="s">
        <v>343</v>
      </c>
      <c r="B318" s="4" t="s">
        <v>344</v>
      </c>
      <c r="C318" s="4" t="s">
        <v>8</v>
      </c>
      <c r="D318" s="4" t="s">
        <v>9</v>
      </c>
    </row>
    <row r="319" spans="1:4" x14ac:dyDescent="0.35">
      <c r="A319" s="4" t="s">
        <v>345</v>
      </c>
      <c r="B319" s="4" t="s">
        <v>317</v>
      </c>
      <c r="C319" s="4" t="s">
        <v>8</v>
      </c>
      <c r="D319" s="4" t="s">
        <v>9</v>
      </c>
    </row>
    <row r="320" spans="1:4" x14ac:dyDescent="0.35">
      <c r="A320" s="4" t="s">
        <v>346</v>
      </c>
      <c r="B320" s="4" t="s">
        <v>347</v>
      </c>
      <c r="C320" s="4" t="s">
        <v>8</v>
      </c>
      <c r="D320" s="4" t="s">
        <v>9</v>
      </c>
    </row>
    <row r="321" spans="1:4" x14ac:dyDescent="0.35">
      <c r="A321" s="4" t="s">
        <v>348</v>
      </c>
      <c r="B321" s="4">
        <v>140</v>
      </c>
      <c r="C321" s="4" t="s">
        <v>23</v>
      </c>
      <c r="D321" s="4" t="s">
        <v>9</v>
      </c>
    </row>
    <row r="322" spans="1:4" x14ac:dyDescent="0.35">
      <c r="A322" s="4" t="s">
        <v>349</v>
      </c>
      <c r="B322" s="4">
        <v>0.17499999999999999</v>
      </c>
      <c r="C322" s="4" t="s">
        <v>23</v>
      </c>
      <c r="D322" s="4" t="s">
        <v>9</v>
      </c>
    </row>
    <row r="323" spans="1:4" ht="34.5" x14ac:dyDescent="0.35">
      <c r="A323" s="4" t="s">
        <v>350</v>
      </c>
      <c r="B323" s="4" t="s">
        <v>351</v>
      </c>
      <c r="C323" s="4" t="s">
        <v>8</v>
      </c>
      <c r="D323" s="4" t="s">
        <v>9</v>
      </c>
    </row>
    <row r="324" spans="1:4" x14ac:dyDescent="0.35">
      <c r="A324" s="4" t="s">
        <v>352</v>
      </c>
      <c r="B324" s="4" t="s">
        <v>324</v>
      </c>
      <c r="C324" s="4" t="s">
        <v>8</v>
      </c>
      <c r="D324" s="4" t="s">
        <v>9</v>
      </c>
    </row>
    <row r="325" spans="1:4" x14ac:dyDescent="0.35">
      <c r="A325" s="4" t="s">
        <v>353</v>
      </c>
      <c r="B325" s="4" t="s">
        <v>354</v>
      </c>
      <c r="C325" s="4" t="s">
        <v>8</v>
      </c>
      <c r="D325" s="4" t="s">
        <v>9</v>
      </c>
    </row>
    <row r="326" spans="1:4" x14ac:dyDescent="0.35">
      <c r="A326" s="4" t="s">
        <v>355</v>
      </c>
      <c r="B326" s="4">
        <v>120</v>
      </c>
      <c r="C326" s="4" t="s">
        <v>23</v>
      </c>
      <c r="D326" s="4" t="s">
        <v>9</v>
      </c>
    </row>
    <row r="327" spans="1:4" x14ac:dyDescent="0.35">
      <c r="A327" s="4" t="s">
        <v>356</v>
      </c>
      <c r="B327" s="4">
        <v>0.15</v>
      </c>
      <c r="C327" s="4" t="s">
        <v>23</v>
      </c>
      <c r="D327" s="4" t="s">
        <v>9</v>
      </c>
    </row>
    <row r="328" spans="1:4" ht="46" x14ac:dyDescent="0.35">
      <c r="A328" s="4" t="s">
        <v>357</v>
      </c>
      <c r="B328" s="4" t="s">
        <v>358</v>
      </c>
      <c r="C328" s="4" t="s">
        <v>8</v>
      </c>
      <c r="D328" s="4" t="s">
        <v>9</v>
      </c>
    </row>
    <row r="329" spans="1:4" x14ac:dyDescent="0.35">
      <c r="A329" s="4" t="s">
        <v>359</v>
      </c>
      <c r="B329" s="4" t="s">
        <v>360</v>
      </c>
      <c r="C329" s="4" t="s">
        <v>8</v>
      </c>
      <c r="D329" s="4" t="s">
        <v>9</v>
      </c>
    </row>
    <row r="330" spans="1:4" x14ac:dyDescent="0.35">
      <c r="A330" s="4" t="s">
        <v>361</v>
      </c>
      <c r="B330" s="4" t="s">
        <v>362</v>
      </c>
      <c r="C330" s="4" t="s">
        <v>8</v>
      </c>
      <c r="D330" s="4" t="s">
        <v>9</v>
      </c>
    </row>
    <row r="331" spans="1:4" x14ac:dyDescent="0.35">
      <c r="A331" s="4" t="s">
        <v>363</v>
      </c>
      <c r="B331" s="4">
        <v>120</v>
      </c>
      <c r="C331" s="4" t="s">
        <v>23</v>
      </c>
      <c r="D331" s="4" t="s">
        <v>9</v>
      </c>
    </row>
    <row r="332" spans="1:4" x14ac:dyDescent="0.35">
      <c r="A332" s="4" t="s">
        <v>364</v>
      </c>
      <c r="B332" s="4">
        <v>0.15</v>
      </c>
      <c r="C332" s="4" t="s">
        <v>23</v>
      </c>
      <c r="D332" s="4" t="s">
        <v>9</v>
      </c>
    </row>
    <row r="333" spans="1:4" ht="34.5" x14ac:dyDescent="0.35">
      <c r="A333" s="4" t="s">
        <v>365</v>
      </c>
      <c r="B333" s="4" t="s">
        <v>366</v>
      </c>
      <c r="C333" s="4" t="s">
        <v>8</v>
      </c>
      <c r="D333" s="4" t="s">
        <v>9</v>
      </c>
    </row>
    <row r="334" spans="1:4" x14ac:dyDescent="0.35">
      <c r="A334" s="4" t="s">
        <v>367</v>
      </c>
      <c r="B334" s="4" t="s">
        <v>368</v>
      </c>
      <c r="C334" s="4" t="s">
        <v>8</v>
      </c>
      <c r="D334" s="4" t="s">
        <v>9</v>
      </c>
    </row>
    <row r="335" spans="1:4" x14ac:dyDescent="0.35">
      <c r="A335" s="4" t="s">
        <v>369</v>
      </c>
      <c r="B335" s="4" t="s">
        <v>370</v>
      </c>
      <c r="C335" s="4" t="s">
        <v>8</v>
      </c>
      <c r="D335" s="4" t="s">
        <v>9</v>
      </c>
    </row>
    <row r="336" spans="1:4" x14ac:dyDescent="0.35">
      <c r="A336" s="4" t="s">
        <v>371</v>
      </c>
      <c r="B336" s="4">
        <v>40</v>
      </c>
      <c r="C336" s="4" t="s">
        <v>23</v>
      </c>
      <c r="D336" s="4" t="s">
        <v>9</v>
      </c>
    </row>
    <row r="337" spans="1:4" x14ac:dyDescent="0.35">
      <c r="A337" s="4" t="s">
        <v>372</v>
      </c>
      <c r="B337" s="4">
        <v>0.05</v>
      </c>
      <c r="C337" s="4" t="s">
        <v>23</v>
      </c>
      <c r="D337" s="4" t="s">
        <v>9</v>
      </c>
    </row>
    <row r="338" spans="1:4" ht="23" x14ac:dyDescent="0.35">
      <c r="A338" s="4" t="s">
        <v>373</v>
      </c>
      <c r="B338" s="4" t="s">
        <v>374</v>
      </c>
      <c r="C338" s="4" t="s">
        <v>8</v>
      </c>
      <c r="D338" s="4" t="s">
        <v>9</v>
      </c>
    </row>
    <row r="339" spans="1:4" x14ac:dyDescent="0.35">
      <c r="A339" s="4" t="s">
        <v>375</v>
      </c>
      <c r="B339" s="4" t="s">
        <v>376</v>
      </c>
      <c r="C339" s="4" t="s">
        <v>8</v>
      </c>
      <c r="D339" s="4" t="s">
        <v>9</v>
      </c>
    </row>
    <row r="340" spans="1:4" x14ac:dyDescent="0.35">
      <c r="A340" s="4" t="s">
        <v>377</v>
      </c>
      <c r="B340" s="4" t="s">
        <v>378</v>
      </c>
      <c r="C340" s="4" t="s">
        <v>8</v>
      </c>
      <c r="D340" s="4" t="s">
        <v>9</v>
      </c>
    </row>
    <row r="341" spans="1:4" x14ac:dyDescent="0.35">
      <c r="A341" s="4" t="s">
        <v>379</v>
      </c>
      <c r="B341" s="4">
        <v>273.60000000000002</v>
      </c>
      <c r="C341" s="4" t="s">
        <v>23</v>
      </c>
      <c r="D341" s="4" t="s">
        <v>9</v>
      </c>
    </row>
    <row r="342" spans="1:4" x14ac:dyDescent="0.35">
      <c r="A342" s="4" t="s">
        <v>380</v>
      </c>
      <c r="B342" s="4">
        <v>250</v>
      </c>
      <c r="C342" s="4" t="s">
        <v>23</v>
      </c>
      <c r="D342" s="4" t="s">
        <v>9</v>
      </c>
    </row>
    <row r="343" spans="1:4" x14ac:dyDescent="0.35">
      <c r="A343" s="4" t="s">
        <v>381</v>
      </c>
      <c r="B343" s="4" t="s">
        <v>382</v>
      </c>
      <c r="C343" s="4" t="s">
        <v>8</v>
      </c>
      <c r="D343" s="4" t="s">
        <v>9</v>
      </c>
    </row>
    <row r="344" spans="1:4" x14ac:dyDescent="0.35">
      <c r="A344" s="4" t="s">
        <v>383</v>
      </c>
      <c r="B344" s="4">
        <v>30</v>
      </c>
      <c r="C344" s="4" t="s">
        <v>23</v>
      </c>
      <c r="D344" s="4" t="s">
        <v>9</v>
      </c>
    </row>
    <row r="345" spans="1:4" x14ac:dyDescent="0.35">
      <c r="A345" s="4" t="s">
        <v>384</v>
      </c>
      <c r="B345" s="4" t="s">
        <v>385</v>
      </c>
      <c r="C345" s="4" t="s">
        <v>8</v>
      </c>
      <c r="D345" s="4" t="s">
        <v>9</v>
      </c>
    </row>
    <row r="346" spans="1:4" x14ac:dyDescent="0.35">
      <c r="A346" s="4" t="s">
        <v>386</v>
      </c>
      <c r="B346" s="4" t="s">
        <v>387</v>
      </c>
      <c r="C346" s="4" t="s">
        <v>8</v>
      </c>
      <c r="D346" s="4" t="s">
        <v>9</v>
      </c>
    </row>
    <row r="347" spans="1:4" x14ac:dyDescent="0.35">
      <c r="A347" s="4" t="s">
        <v>388</v>
      </c>
      <c r="B347" s="4" t="s">
        <v>389</v>
      </c>
      <c r="C347" s="4" t="s">
        <v>8</v>
      </c>
      <c r="D347" s="4" t="s">
        <v>9</v>
      </c>
    </row>
    <row r="348" spans="1:4" x14ac:dyDescent="0.35">
      <c r="A348" s="4" t="s">
        <v>390</v>
      </c>
      <c r="B348" s="4">
        <v>40</v>
      </c>
      <c r="C348" s="4" t="s">
        <v>23</v>
      </c>
      <c r="D348" s="4" t="s">
        <v>9</v>
      </c>
    </row>
    <row r="349" spans="1:4" x14ac:dyDescent="0.35">
      <c r="A349" s="4" t="s">
        <v>391</v>
      </c>
      <c r="B349" s="4">
        <v>250</v>
      </c>
      <c r="C349" s="4" t="s">
        <v>23</v>
      </c>
      <c r="D349" s="4" t="s">
        <v>9</v>
      </c>
    </row>
    <row r="350" spans="1:4" x14ac:dyDescent="0.35">
      <c r="A350" s="4" t="s">
        <v>392</v>
      </c>
      <c r="B350" s="4">
        <v>400</v>
      </c>
      <c r="C350" s="4" t="s">
        <v>23</v>
      </c>
      <c r="D350" s="4" t="s">
        <v>9</v>
      </c>
    </row>
    <row r="351" spans="1:4" x14ac:dyDescent="0.35">
      <c r="A351" s="4" t="s">
        <v>393</v>
      </c>
      <c r="B351" s="4">
        <v>1</v>
      </c>
      <c r="C351" s="4" t="s">
        <v>23</v>
      </c>
      <c r="D351" s="4" t="s">
        <v>9</v>
      </c>
    </row>
    <row r="352" spans="1:4" x14ac:dyDescent="0.35">
      <c r="A352" s="4" t="s">
        <v>394</v>
      </c>
      <c r="B352" s="4">
        <v>0.82</v>
      </c>
      <c r="C352" s="4" t="s">
        <v>23</v>
      </c>
      <c r="D352" s="4" t="s">
        <v>9</v>
      </c>
    </row>
    <row r="353" spans="1:4" x14ac:dyDescent="0.35">
      <c r="A353" s="4" t="s">
        <v>395</v>
      </c>
      <c r="B353" s="4">
        <v>0.73</v>
      </c>
      <c r="C353" s="4" t="s">
        <v>23</v>
      </c>
      <c r="D353" s="4" t="s">
        <v>9</v>
      </c>
    </row>
    <row r="354" spans="1:4" x14ac:dyDescent="0.35">
      <c r="A354" s="4" t="s">
        <v>396</v>
      </c>
      <c r="B354" s="4">
        <v>0.68</v>
      </c>
      <c r="C354" s="4" t="s">
        <v>23</v>
      </c>
      <c r="D354" s="4" t="s">
        <v>9</v>
      </c>
    </row>
    <row r="355" spans="1:4" x14ac:dyDescent="0.35">
      <c r="A355" s="4" t="s">
        <v>397</v>
      </c>
      <c r="B355" s="4">
        <v>0.66</v>
      </c>
      <c r="C355" s="4" t="s">
        <v>23</v>
      </c>
      <c r="D355" s="4" t="s">
        <v>9</v>
      </c>
    </row>
    <row r="356" spans="1:4" x14ac:dyDescent="0.35">
      <c r="A356" s="4" t="s">
        <v>398</v>
      </c>
      <c r="B356" s="4">
        <v>0.65</v>
      </c>
      <c r="C356" s="4" t="s">
        <v>23</v>
      </c>
      <c r="D356" s="4" t="s">
        <v>9</v>
      </c>
    </row>
    <row r="357" spans="1:4" x14ac:dyDescent="0.35">
      <c r="A357" s="4" t="s">
        <v>399</v>
      </c>
      <c r="B357" s="4">
        <v>0</v>
      </c>
      <c r="C357" s="4" t="s">
        <v>23</v>
      </c>
      <c r="D357" s="4" t="s">
        <v>9</v>
      </c>
    </row>
    <row r="358" spans="1:4" x14ac:dyDescent="0.35">
      <c r="A358" s="4" t="s">
        <v>400</v>
      </c>
      <c r="B358" s="4">
        <v>-0.05</v>
      </c>
      <c r="C358" s="4" t="s">
        <v>23</v>
      </c>
      <c r="D358" s="4" t="s">
        <v>9</v>
      </c>
    </row>
    <row r="359" spans="1:4" x14ac:dyDescent="0.35">
      <c r="A359" s="4" t="s">
        <v>401</v>
      </c>
      <c r="B359" s="4">
        <v>-7.0000000000000007E-2</v>
      </c>
      <c r="C359" s="4" t="s">
        <v>23</v>
      </c>
      <c r="D359" s="4" t="s">
        <v>9</v>
      </c>
    </row>
    <row r="360" spans="1:4" x14ac:dyDescent="0.35">
      <c r="A360" s="4" t="s">
        <v>402</v>
      </c>
      <c r="B360" s="4">
        <v>-0.08</v>
      </c>
      <c r="C360" s="4" t="s">
        <v>23</v>
      </c>
      <c r="D360" s="4" t="s">
        <v>9</v>
      </c>
    </row>
    <row r="361" spans="1:4" x14ac:dyDescent="0.35">
      <c r="A361" s="4" t="s">
        <v>403</v>
      </c>
      <c r="B361" s="4">
        <v>-0.08</v>
      </c>
      <c r="C361" s="4" t="s">
        <v>23</v>
      </c>
      <c r="D361" s="4" t="s">
        <v>9</v>
      </c>
    </row>
    <row r="362" spans="1:4" x14ac:dyDescent="0.35">
      <c r="A362" s="4" t="s">
        <v>404</v>
      </c>
      <c r="B362" s="4">
        <v>-7.0000000000000007E-2</v>
      </c>
      <c r="C362" s="4" t="s">
        <v>23</v>
      </c>
      <c r="D362" s="4" t="s">
        <v>9</v>
      </c>
    </row>
    <row r="363" spans="1:4" x14ac:dyDescent="0.35">
      <c r="A363" s="4" t="s">
        <v>405</v>
      </c>
      <c r="B363" s="4">
        <v>1</v>
      </c>
      <c r="C363" s="4" t="s">
        <v>23</v>
      </c>
      <c r="D363" s="4" t="s">
        <v>9</v>
      </c>
    </row>
    <row r="364" spans="1:4" x14ac:dyDescent="0.35">
      <c r="A364" s="4" t="s">
        <v>406</v>
      </c>
      <c r="B364" s="4">
        <v>0.93</v>
      </c>
      <c r="C364" s="4" t="s">
        <v>23</v>
      </c>
      <c r="D364" s="4" t="s">
        <v>9</v>
      </c>
    </row>
    <row r="365" spans="1:4" x14ac:dyDescent="0.35">
      <c r="A365" s="4" t="s">
        <v>407</v>
      </c>
      <c r="B365" s="4">
        <v>0.88</v>
      </c>
      <c r="C365" s="4" t="s">
        <v>23</v>
      </c>
      <c r="D365" s="4" t="s">
        <v>9</v>
      </c>
    </row>
    <row r="366" spans="1:4" x14ac:dyDescent="0.35">
      <c r="A366" s="4" t="s">
        <v>408</v>
      </c>
      <c r="B366" s="4">
        <v>0.85</v>
      </c>
      <c r="C366" s="4" t="s">
        <v>23</v>
      </c>
      <c r="D366" s="4" t="s">
        <v>9</v>
      </c>
    </row>
    <row r="367" spans="1:4" x14ac:dyDescent="0.35">
      <c r="A367" s="4" t="s">
        <v>409</v>
      </c>
      <c r="B367" s="4">
        <v>0.84</v>
      </c>
      <c r="C367" s="4" t="s">
        <v>23</v>
      </c>
      <c r="D367" s="4" t="s">
        <v>9</v>
      </c>
    </row>
    <row r="368" spans="1:4" x14ac:dyDescent="0.35">
      <c r="A368" s="4" t="s">
        <v>410</v>
      </c>
      <c r="B368" s="4">
        <v>0.84</v>
      </c>
      <c r="C368" s="4" t="s">
        <v>23</v>
      </c>
      <c r="D368" s="4" t="s">
        <v>9</v>
      </c>
    </row>
    <row r="369" spans="1:4" x14ac:dyDescent="0.35">
      <c r="A369" s="4" t="s">
        <v>411</v>
      </c>
      <c r="B369" s="4">
        <v>1</v>
      </c>
      <c r="C369" s="4" t="s">
        <v>23</v>
      </c>
      <c r="D369" s="4" t="s">
        <v>9</v>
      </c>
    </row>
    <row r="370" spans="1:4" x14ac:dyDescent="0.35">
      <c r="A370" s="4" t="s">
        <v>412</v>
      </c>
      <c r="B370" s="4">
        <v>1</v>
      </c>
      <c r="C370" s="4" t="s">
        <v>23</v>
      </c>
      <c r="D370" s="4" t="s">
        <v>9</v>
      </c>
    </row>
    <row r="371" spans="1:4" x14ac:dyDescent="0.35">
      <c r="A371" s="4" t="s">
        <v>413</v>
      </c>
      <c r="B371" s="4">
        <v>1</v>
      </c>
      <c r="C371" s="4" t="s">
        <v>23</v>
      </c>
      <c r="D371" s="4" t="s">
        <v>9</v>
      </c>
    </row>
    <row r="372" spans="1:4" x14ac:dyDescent="0.35">
      <c r="A372" s="4" t="s">
        <v>414</v>
      </c>
      <c r="B372" s="4">
        <v>1</v>
      </c>
      <c r="C372" s="4" t="s">
        <v>23</v>
      </c>
      <c r="D372" s="4" t="s">
        <v>9</v>
      </c>
    </row>
    <row r="373" spans="1:4" x14ac:dyDescent="0.35">
      <c r="A373" s="4" t="s">
        <v>415</v>
      </c>
      <c r="B373" s="4">
        <v>1</v>
      </c>
      <c r="C373" s="4" t="s">
        <v>23</v>
      </c>
      <c r="D373" s="4" t="s">
        <v>9</v>
      </c>
    </row>
    <row r="374" spans="1:4" x14ac:dyDescent="0.35">
      <c r="A374" s="4" t="s">
        <v>416</v>
      </c>
      <c r="B374" s="4">
        <v>1</v>
      </c>
      <c r="C374" s="4" t="s">
        <v>23</v>
      </c>
      <c r="D374" s="4" t="s">
        <v>9</v>
      </c>
    </row>
    <row r="375" spans="1:4" x14ac:dyDescent="0.35">
      <c r="A375" s="4" t="s">
        <v>417</v>
      </c>
      <c r="B375" s="4">
        <v>0</v>
      </c>
      <c r="C375" s="4" t="s">
        <v>23</v>
      </c>
      <c r="D375" s="4" t="s">
        <v>9</v>
      </c>
    </row>
    <row r="376" spans="1:4" x14ac:dyDescent="0.35">
      <c r="A376" s="4" t="s">
        <v>418</v>
      </c>
      <c r="B376" s="4">
        <v>0</v>
      </c>
      <c r="C376" s="4" t="s">
        <v>23</v>
      </c>
      <c r="D376" s="4" t="s">
        <v>9</v>
      </c>
    </row>
    <row r="377" spans="1:4" x14ac:dyDescent="0.35">
      <c r="A377" s="4" t="s">
        <v>419</v>
      </c>
      <c r="B377" s="4">
        <v>0</v>
      </c>
      <c r="C377" s="4" t="s">
        <v>23</v>
      </c>
      <c r="D377" s="4" t="s">
        <v>9</v>
      </c>
    </row>
    <row r="378" spans="1:4" x14ac:dyDescent="0.35">
      <c r="A378" s="4" t="s">
        <v>420</v>
      </c>
      <c r="B378" s="4">
        <v>0</v>
      </c>
      <c r="C378" s="4" t="s">
        <v>23</v>
      </c>
      <c r="D378" s="4" t="s">
        <v>9</v>
      </c>
    </row>
    <row r="379" spans="1:4" x14ac:dyDescent="0.35">
      <c r="A379" s="4" t="s">
        <v>421</v>
      </c>
      <c r="B379" s="4">
        <v>0</v>
      </c>
      <c r="C379" s="4" t="s">
        <v>23</v>
      </c>
      <c r="D379" s="4" t="s">
        <v>9</v>
      </c>
    </row>
    <row r="380" spans="1:4" x14ac:dyDescent="0.35">
      <c r="A380" s="4" t="s">
        <v>422</v>
      </c>
      <c r="B380" s="4">
        <v>0</v>
      </c>
      <c r="C380" s="4" t="s">
        <v>23</v>
      </c>
      <c r="D380" s="4" t="s">
        <v>9</v>
      </c>
    </row>
    <row r="381" spans="1:4" x14ac:dyDescent="0.35">
      <c r="A381" s="4" t="s">
        <v>423</v>
      </c>
      <c r="B381" s="4">
        <v>1</v>
      </c>
      <c r="C381" s="4" t="s">
        <v>23</v>
      </c>
      <c r="D381" s="4" t="s">
        <v>9</v>
      </c>
    </row>
    <row r="382" spans="1:4" x14ac:dyDescent="0.35">
      <c r="A382" s="4" t="s">
        <v>424</v>
      </c>
      <c r="B382" s="4">
        <v>1</v>
      </c>
      <c r="C382" s="4" t="s">
        <v>23</v>
      </c>
      <c r="D382" s="4" t="s">
        <v>9</v>
      </c>
    </row>
    <row r="383" spans="1:4" x14ac:dyDescent="0.35">
      <c r="A383" s="4" t="s">
        <v>425</v>
      </c>
      <c r="B383" s="4">
        <v>1</v>
      </c>
      <c r="C383" s="4" t="s">
        <v>23</v>
      </c>
      <c r="D383" s="4" t="s">
        <v>9</v>
      </c>
    </row>
    <row r="384" spans="1:4" x14ac:dyDescent="0.35">
      <c r="A384" s="4" t="s">
        <v>426</v>
      </c>
      <c r="B384" s="4">
        <v>1</v>
      </c>
      <c r="C384" s="4" t="s">
        <v>23</v>
      </c>
      <c r="D384" s="4" t="s">
        <v>9</v>
      </c>
    </row>
    <row r="385" spans="1:4" x14ac:dyDescent="0.35">
      <c r="A385" s="4" t="s">
        <v>427</v>
      </c>
      <c r="B385" s="4">
        <v>1</v>
      </c>
      <c r="C385" s="4" t="s">
        <v>23</v>
      </c>
      <c r="D385" s="4" t="s">
        <v>9</v>
      </c>
    </row>
    <row r="386" spans="1:4" x14ac:dyDescent="0.35">
      <c r="A386" s="4" t="s">
        <v>428</v>
      </c>
      <c r="B386" s="4">
        <v>1</v>
      </c>
      <c r="C386" s="4" t="s">
        <v>23</v>
      </c>
      <c r="D386" s="4" t="s">
        <v>9</v>
      </c>
    </row>
    <row r="387" spans="1:4" x14ac:dyDescent="0.35">
      <c r="A387" s="4" t="s">
        <v>429</v>
      </c>
      <c r="B387" s="4">
        <v>1</v>
      </c>
      <c r="C387" s="4" t="s">
        <v>23</v>
      </c>
      <c r="D387" s="4" t="s">
        <v>9</v>
      </c>
    </row>
    <row r="388" spans="1:4" x14ac:dyDescent="0.35">
      <c r="A388" s="4" t="s">
        <v>430</v>
      </c>
      <c r="B388" s="4">
        <v>1.1200000000000001</v>
      </c>
      <c r="C388" s="4" t="s">
        <v>23</v>
      </c>
      <c r="D388" s="4" t="s">
        <v>9</v>
      </c>
    </row>
    <row r="389" spans="1:4" x14ac:dyDescent="0.35">
      <c r="A389" s="4" t="s">
        <v>431</v>
      </c>
      <c r="B389" s="4">
        <v>1.22</v>
      </c>
      <c r="C389" s="4" t="s">
        <v>23</v>
      </c>
      <c r="D389" s="4" t="s">
        <v>9</v>
      </c>
    </row>
    <row r="390" spans="1:4" x14ac:dyDescent="0.35">
      <c r="A390" s="4" t="s">
        <v>432</v>
      </c>
      <c r="B390" s="4">
        <v>1.3</v>
      </c>
      <c r="C390" s="4" t="s">
        <v>23</v>
      </c>
      <c r="D390" s="4" t="s">
        <v>9</v>
      </c>
    </row>
    <row r="391" spans="1:4" x14ac:dyDescent="0.35">
      <c r="A391" s="4" t="s">
        <v>433</v>
      </c>
      <c r="B391" s="4">
        <v>1.36</v>
      </c>
      <c r="C391" s="4" t="s">
        <v>23</v>
      </c>
      <c r="D391" s="4" t="s">
        <v>9</v>
      </c>
    </row>
    <row r="392" spans="1:4" x14ac:dyDescent="0.35">
      <c r="A392" s="4" t="s">
        <v>434</v>
      </c>
      <c r="B392" s="4">
        <v>1.4</v>
      </c>
      <c r="C392" s="4" t="s">
        <v>23</v>
      </c>
      <c r="D392" s="4" t="s">
        <v>9</v>
      </c>
    </row>
    <row r="393" spans="1:4" x14ac:dyDescent="0.35">
      <c r="A393" s="4" t="s">
        <v>435</v>
      </c>
      <c r="B393" s="4">
        <v>0</v>
      </c>
      <c r="C393" s="4" t="s">
        <v>23</v>
      </c>
      <c r="D393" s="4" t="s">
        <v>9</v>
      </c>
    </row>
    <row r="394" spans="1:4" x14ac:dyDescent="0.35">
      <c r="A394" s="4" t="s">
        <v>436</v>
      </c>
      <c r="B394" s="4">
        <v>0.03</v>
      </c>
      <c r="C394" s="4" t="s">
        <v>23</v>
      </c>
      <c r="D394" s="4" t="s">
        <v>9</v>
      </c>
    </row>
    <row r="395" spans="1:4" x14ac:dyDescent="0.35">
      <c r="A395" s="4" t="s">
        <v>437</v>
      </c>
      <c r="B395" s="4">
        <v>0.05</v>
      </c>
      <c r="C395" s="4" t="s">
        <v>23</v>
      </c>
      <c r="D395" s="4" t="s">
        <v>9</v>
      </c>
    </row>
    <row r="396" spans="1:4" x14ac:dyDescent="0.35">
      <c r="A396" s="4" t="s">
        <v>438</v>
      </c>
      <c r="B396" s="4">
        <v>0.06</v>
      </c>
      <c r="C396" s="4" t="s">
        <v>23</v>
      </c>
      <c r="D396" s="4" t="s">
        <v>9</v>
      </c>
    </row>
    <row r="397" spans="1:4" x14ac:dyDescent="0.35">
      <c r="A397" s="4" t="s">
        <v>439</v>
      </c>
      <c r="B397" s="4">
        <v>0.06</v>
      </c>
      <c r="C397" s="4" t="s">
        <v>23</v>
      </c>
      <c r="D397" s="4" t="s">
        <v>9</v>
      </c>
    </row>
    <row r="398" spans="1:4" x14ac:dyDescent="0.35">
      <c r="A398" s="4" t="s">
        <v>440</v>
      </c>
      <c r="B398" s="4">
        <v>0.06</v>
      </c>
      <c r="C398" s="4" t="s">
        <v>23</v>
      </c>
      <c r="D398" s="4" t="s">
        <v>9</v>
      </c>
    </row>
    <row r="399" spans="1:4" x14ac:dyDescent="0.35">
      <c r="A399" s="4" t="s">
        <v>441</v>
      </c>
      <c r="B399" s="4">
        <v>1</v>
      </c>
      <c r="C399" s="4" t="s">
        <v>23</v>
      </c>
      <c r="D399" s="4" t="s">
        <v>9</v>
      </c>
    </row>
    <row r="400" spans="1:4" x14ac:dyDescent="0.35">
      <c r="A400" s="4" t="s">
        <v>442</v>
      </c>
      <c r="B400" s="4">
        <v>1.08</v>
      </c>
      <c r="C400" s="4" t="s">
        <v>23</v>
      </c>
      <c r="D400" s="4" t="s">
        <v>9</v>
      </c>
    </row>
    <row r="401" spans="1:4" x14ac:dyDescent="0.35">
      <c r="A401" s="4" t="s">
        <v>443</v>
      </c>
      <c r="B401" s="4">
        <v>1.1399999999999999</v>
      </c>
      <c r="C401" s="4" t="s">
        <v>23</v>
      </c>
      <c r="D401" s="4" t="s">
        <v>9</v>
      </c>
    </row>
    <row r="402" spans="1:4" x14ac:dyDescent="0.35">
      <c r="A402" s="4" t="s">
        <v>444</v>
      </c>
      <c r="B402" s="4">
        <v>1.18</v>
      </c>
      <c r="C402" s="4" t="s">
        <v>23</v>
      </c>
      <c r="D402" s="4" t="s">
        <v>9</v>
      </c>
    </row>
    <row r="403" spans="1:4" x14ac:dyDescent="0.35">
      <c r="A403" s="4" t="s">
        <v>445</v>
      </c>
      <c r="B403" s="4">
        <v>1.2</v>
      </c>
      <c r="C403" s="4" t="s">
        <v>23</v>
      </c>
      <c r="D403" s="4" t="s">
        <v>9</v>
      </c>
    </row>
    <row r="404" spans="1:4" x14ac:dyDescent="0.35">
      <c r="A404" s="4" t="s">
        <v>446</v>
      </c>
      <c r="B404" s="4">
        <v>1.2</v>
      </c>
      <c r="C404" s="4" t="s">
        <v>23</v>
      </c>
      <c r="D404" s="4" t="s">
        <v>9</v>
      </c>
    </row>
    <row r="405" spans="1:4" x14ac:dyDescent="0.35">
      <c r="A405" s="4" t="s">
        <v>447</v>
      </c>
      <c r="B405" s="4">
        <v>2027</v>
      </c>
      <c r="C405" s="4" t="s">
        <v>23</v>
      </c>
      <c r="D405" s="4" t="s">
        <v>9</v>
      </c>
    </row>
    <row r="406" spans="1:4" x14ac:dyDescent="0.35">
      <c r="A406" s="4" t="s">
        <v>448</v>
      </c>
      <c r="B406" s="4">
        <v>16.100000000000001</v>
      </c>
      <c r="C406" s="4" t="s">
        <v>23</v>
      </c>
      <c r="D406" s="4" t="s">
        <v>9</v>
      </c>
    </row>
    <row r="407" spans="1:4" x14ac:dyDescent="0.35">
      <c r="A407" s="4" t="s">
        <v>449</v>
      </c>
      <c r="B407" s="4">
        <v>2030</v>
      </c>
      <c r="C407" s="4" t="s">
        <v>23</v>
      </c>
      <c r="D407" s="4" t="s">
        <v>9</v>
      </c>
    </row>
    <row r="408" spans="1:4" x14ac:dyDescent="0.35">
      <c r="A408" s="4" t="s">
        <v>450</v>
      </c>
      <c r="B408" s="4">
        <v>6</v>
      </c>
      <c r="C408" s="4" t="s">
        <v>23</v>
      </c>
      <c r="D408" s="4" t="s">
        <v>9</v>
      </c>
    </row>
    <row r="409" spans="1:4" x14ac:dyDescent="0.35">
      <c r="A409" s="4" t="s">
        <v>451</v>
      </c>
      <c r="B409" s="4">
        <v>8</v>
      </c>
      <c r="C409" s="4" t="s">
        <v>23</v>
      </c>
      <c r="D409" s="4" t="s">
        <v>9</v>
      </c>
    </row>
    <row r="410" spans="1:4" x14ac:dyDescent="0.35">
      <c r="A410" s="4" t="s">
        <v>452</v>
      </c>
      <c r="B410" s="4">
        <v>10</v>
      </c>
      <c r="C410" s="4" t="s">
        <v>23</v>
      </c>
      <c r="D410" s="4" t="s">
        <v>9</v>
      </c>
    </row>
    <row r="411" spans="1:4" x14ac:dyDescent="0.35">
      <c r="A411" s="4" t="s">
        <v>453</v>
      </c>
      <c r="B411" s="4">
        <v>12</v>
      </c>
      <c r="C411" s="4" t="s">
        <v>23</v>
      </c>
      <c r="D411" s="4" t="s">
        <v>9</v>
      </c>
    </row>
    <row r="412" spans="1:4" x14ac:dyDescent="0.35">
      <c r="A412" s="4" t="s">
        <v>454</v>
      </c>
      <c r="B412" s="4">
        <v>0.1</v>
      </c>
      <c r="C412" s="4" t="s">
        <v>23</v>
      </c>
      <c r="D412" s="4" t="s">
        <v>9</v>
      </c>
    </row>
  </sheetData>
  <autoFilter ref="A4:D412" xr:uid="{00000000-0009-0000-0000-000000000000}"/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00"/>
  <sheetViews>
    <sheetView showGridLines="0" workbookViewId="0"/>
  </sheetViews>
  <sheetFormatPr defaultRowHeight="14.5" x14ac:dyDescent="0.35"/>
  <cols>
    <col min="1" max="16" width="18" customWidth="1"/>
  </cols>
  <sheetData>
    <row r="1" spans="1:1" ht="25" x14ac:dyDescent="0.5">
      <c r="A1" s="1" t="s">
        <v>455</v>
      </c>
    </row>
    <row r="2" spans="1:1" x14ac:dyDescent="0.35">
      <c r="A2" s="2" t="s">
        <v>456</v>
      </c>
    </row>
    <row r="42" spans="1:16" ht="22" customHeight="1" x14ac:dyDescent="0.35">
      <c r="A42" s="3" t="s">
        <v>457</v>
      </c>
      <c r="B42" s="3" t="s">
        <v>458</v>
      </c>
      <c r="C42" s="3" t="s">
        <v>459</v>
      </c>
      <c r="D42" s="3" t="s">
        <v>460</v>
      </c>
      <c r="J42" t="s">
        <v>461</v>
      </c>
      <c r="K42" t="s">
        <v>333</v>
      </c>
      <c r="L42" t="s">
        <v>340</v>
      </c>
      <c r="M42" t="s">
        <v>347</v>
      </c>
      <c r="N42" t="s">
        <v>354</v>
      </c>
      <c r="O42" t="s">
        <v>362</v>
      </c>
      <c r="P42" t="s">
        <v>370</v>
      </c>
    </row>
    <row r="43" spans="1:16" x14ac:dyDescent="0.35">
      <c r="A43" s="5" t="s">
        <v>462</v>
      </c>
      <c r="B43" s="5">
        <v>300</v>
      </c>
      <c r="C43" s="5">
        <v>160</v>
      </c>
      <c r="D43" s="5">
        <v>190</v>
      </c>
      <c r="J43" t="s">
        <v>463</v>
      </c>
      <c r="K43">
        <v>220</v>
      </c>
      <c r="L43">
        <v>160</v>
      </c>
      <c r="M43">
        <v>140</v>
      </c>
      <c r="N43">
        <v>120</v>
      </c>
      <c r="O43">
        <v>120</v>
      </c>
      <c r="P43">
        <v>40</v>
      </c>
    </row>
    <row r="44" spans="1:16" x14ac:dyDescent="0.35">
      <c r="A44" s="5" t="s">
        <v>464</v>
      </c>
      <c r="B44" s="5">
        <v>500</v>
      </c>
      <c r="C44" s="5">
        <v>360</v>
      </c>
      <c r="D44" s="5">
        <v>380</v>
      </c>
    </row>
    <row r="45" spans="1:16" x14ac:dyDescent="0.35">
      <c r="A45" s="5" t="s">
        <v>465</v>
      </c>
      <c r="B45" s="5">
        <v>700</v>
      </c>
      <c r="C45" s="5">
        <v>650</v>
      </c>
      <c r="D45" s="5">
        <v>700</v>
      </c>
    </row>
    <row r="46" spans="1:16" x14ac:dyDescent="0.35">
      <c r="A46" s="5" t="s">
        <v>466</v>
      </c>
      <c r="B46" s="5">
        <v>880</v>
      </c>
      <c r="C46" s="5">
        <v>950</v>
      </c>
      <c r="D46" s="5">
        <v>1170</v>
      </c>
    </row>
    <row r="47" spans="1:16" x14ac:dyDescent="0.35">
      <c r="A47" s="5" t="s">
        <v>467</v>
      </c>
      <c r="B47" s="5">
        <v>1050</v>
      </c>
      <c r="C47" s="5">
        <v>1300</v>
      </c>
      <c r="D47" s="5">
        <v>1750</v>
      </c>
    </row>
    <row r="48" spans="1:16" x14ac:dyDescent="0.35">
      <c r="A48" s="5" t="s">
        <v>468</v>
      </c>
      <c r="B48" s="5">
        <v>1200</v>
      </c>
      <c r="C48" s="5">
        <v>1650</v>
      </c>
      <c r="D48" s="5">
        <v>2400</v>
      </c>
    </row>
    <row r="52" spans="1:16" ht="22" customHeight="1" x14ac:dyDescent="0.35">
      <c r="A52" s="3" t="s">
        <v>469</v>
      </c>
      <c r="B52" s="3" t="s">
        <v>470</v>
      </c>
      <c r="C52" s="3" t="s">
        <v>471</v>
      </c>
      <c r="D52" s="3" t="s">
        <v>472</v>
      </c>
      <c r="E52" s="3" t="s">
        <v>473</v>
      </c>
    </row>
    <row r="53" spans="1:16" x14ac:dyDescent="0.35">
      <c r="A53" s="5" t="s">
        <v>474</v>
      </c>
      <c r="B53" s="6">
        <v>252.26666666666671</v>
      </c>
      <c r="C53" s="6">
        <v>252.26666666666671</v>
      </c>
      <c r="D53" s="6">
        <v>252.26666666666671</v>
      </c>
      <c r="E53" s="6">
        <v>250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1:16" x14ac:dyDescent="0.35">
      <c r="A54" s="5" t="s">
        <v>475</v>
      </c>
      <c r="B54" s="6">
        <v>1000.9333333333331</v>
      </c>
      <c r="C54" s="6">
        <v>1000.9333333333331</v>
      </c>
      <c r="D54" s="6">
        <v>230.93333333333339</v>
      </c>
      <c r="E54" s="6">
        <v>250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 x14ac:dyDescent="0.35">
      <c r="A55" s="5" t="s">
        <v>476</v>
      </c>
      <c r="B55" s="6">
        <v>979.6</v>
      </c>
      <c r="C55" s="6">
        <v>979.6</v>
      </c>
      <c r="D55" s="6"/>
      <c r="E55" s="6">
        <v>250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 x14ac:dyDescent="0.35">
      <c r="A56" s="5" t="s">
        <v>477</v>
      </c>
      <c r="B56" s="6">
        <v>975.7833333333333</v>
      </c>
      <c r="C56" s="6">
        <v>965.07533333333333</v>
      </c>
      <c r="D56" s="6"/>
      <c r="E56" s="6">
        <v>250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 x14ac:dyDescent="0.35">
      <c r="A57" s="5" t="s">
        <v>478</v>
      </c>
      <c r="B57" s="6">
        <v>971.96666666666658</v>
      </c>
      <c r="C57" s="6">
        <v>950.55066666666664</v>
      </c>
      <c r="D57" s="6"/>
      <c r="E57" s="6">
        <v>250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spans="1:16" x14ac:dyDescent="0.35">
      <c r="A58" s="5" t="s">
        <v>479</v>
      </c>
      <c r="B58" s="6">
        <v>968.14999999999986</v>
      </c>
      <c r="C58" s="6">
        <v>936.02599999999995</v>
      </c>
      <c r="D58" s="6"/>
      <c r="E58" s="6">
        <v>250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</row>
    <row r="59" spans="1:16" x14ac:dyDescent="0.35">
      <c r="A59" s="5" t="s">
        <v>480</v>
      </c>
      <c r="B59" s="6">
        <v>964.33333333333314</v>
      </c>
      <c r="C59" s="6">
        <v>921.50133333333326</v>
      </c>
      <c r="D59" s="6"/>
      <c r="E59" s="6">
        <v>250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spans="1:16" x14ac:dyDescent="0.35">
      <c r="A60" s="5" t="s">
        <v>481</v>
      </c>
      <c r="B60" s="6">
        <v>960.51666666666642</v>
      </c>
      <c r="C60" s="6">
        <v>906.97666666666657</v>
      </c>
      <c r="D60" s="6"/>
      <c r="E60" s="6">
        <v>250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1:16" x14ac:dyDescent="0.35">
      <c r="A61" s="5" t="s">
        <v>482</v>
      </c>
      <c r="B61" s="6">
        <v>956.6999999999997</v>
      </c>
      <c r="C61" s="6">
        <v>892.45199999999988</v>
      </c>
      <c r="D61" s="6"/>
      <c r="E61" s="6">
        <v>250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16" x14ac:dyDescent="0.35">
      <c r="A62" s="5" t="s">
        <v>483</v>
      </c>
      <c r="B62" s="6">
        <v>952.88333333333298</v>
      </c>
      <c r="C62" s="6">
        <v>877.92733333333319</v>
      </c>
      <c r="D62" s="6"/>
      <c r="E62" s="6">
        <v>250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spans="1:16" x14ac:dyDescent="0.35">
      <c r="A63" s="5" t="s">
        <v>484</v>
      </c>
      <c r="B63" s="6">
        <v>949.06666666666626</v>
      </c>
      <c r="C63" s="6">
        <v>863.40266666666651</v>
      </c>
      <c r="D63" s="6"/>
      <c r="E63" s="6">
        <v>250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spans="1:16" x14ac:dyDescent="0.35">
      <c r="A64" s="5" t="s">
        <v>485</v>
      </c>
      <c r="B64" s="6">
        <v>945.24999999999955</v>
      </c>
      <c r="C64" s="6">
        <v>848.87799999999982</v>
      </c>
      <c r="D64" s="6"/>
      <c r="E64" s="6">
        <v>250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spans="1:16" x14ac:dyDescent="0.35">
      <c r="A65" s="5" t="s">
        <v>486</v>
      </c>
      <c r="B65" s="6">
        <v>941.43333333333283</v>
      </c>
      <c r="C65" s="6">
        <v>834.35333333333313</v>
      </c>
      <c r="D65" s="6"/>
      <c r="E65" s="6">
        <v>250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spans="1:16" x14ac:dyDescent="0.35">
      <c r="A66" s="5" t="s">
        <v>487</v>
      </c>
      <c r="B66" s="6">
        <v>937.61666666666611</v>
      </c>
      <c r="C66" s="6">
        <v>819.82866666666644</v>
      </c>
      <c r="D66" s="6"/>
      <c r="E66" s="6">
        <v>250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spans="1:16" x14ac:dyDescent="0.35">
      <c r="A67" s="5" t="s">
        <v>488</v>
      </c>
      <c r="B67" s="6">
        <v>933.79999999999939</v>
      </c>
      <c r="C67" s="6">
        <v>805.30399999999975</v>
      </c>
      <c r="D67" s="6"/>
      <c r="E67" s="6">
        <v>250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</row>
    <row r="68" spans="1:16" x14ac:dyDescent="0.35">
      <c r="A68" s="5" t="s">
        <v>489</v>
      </c>
      <c r="B68" s="6">
        <v>956.96666666666601</v>
      </c>
      <c r="C68" s="6">
        <v>799.89858333333314</v>
      </c>
      <c r="D68" s="6"/>
      <c r="E68" s="6">
        <v>250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spans="1:16" x14ac:dyDescent="0.35">
      <c r="A69" s="5" t="s">
        <v>490</v>
      </c>
      <c r="B69" s="6">
        <v>980.13333333333264</v>
      </c>
      <c r="C69" s="6">
        <v>794.49316666666653</v>
      </c>
      <c r="D69" s="6"/>
      <c r="E69" s="6">
        <v>250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</row>
    <row r="70" spans="1:16" x14ac:dyDescent="0.35">
      <c r="A70" s="5" t="s">
        <v>491</v>
      </c>
      <c r="B70" s="6">
        <v>1003.299999999999</v>
      </c>
      <c r="C70" s="6">
        <v>789.08774999999991</v>
      </c>
      <c r="D70" s="6"/>
      <c r="E70" s="6">
        <v>250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</row>
    <row r="71" spans="1:16" x14ac:dyDescent="0.35">
      <c r="A71" s="5" t="s">
        <v>492</v>
      </c>
      <c r="B71" s="6">
        <v>1026.466666666666</v>
      </c>
      <c r="C71" s="6">
        <v>783.6823333333333</v>
      </c>
      <c r="D71" s="6"/>
      <c r="E71" s="6">
        <v>250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</row>
    <row r="72" spans="1:16" x14ac:dyDescent="0.35">
      <c r="A72" s="5" t="s">
        <v>493</v>
      </c>
      <c r="B72" s="6">
        <v>1049.633333333333</v>
      </c>
      <c r="C72" s="6">
        <v>778.27691666666669</v>
      </c>
      <c r="D72" s="6"/>
      <c r="E72" s="6">
        <v>250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spans="1:16" x14ac:dyDescent="0.35">
      <c r="A73" s="5" t="s">
        <v>494</v>
      </c>
      <c r="B73" s="6">
        <v>1072.799999999999</v>
      </c>
      <c r="C73" s="6">
        <v>772.87150000000008</v>
      </c>
      <c r="D73" s="6"/>
      <c r="E73" s="6">
        <v>250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spans="1:16" x14ac:dyDescent="0.35">
      <c r="A74" s="5" t="s">
        <v>495</v>
      </c>
      <c r="B74" s="6">
        <v>1095.966666666666</v>
      </c>
      <c r="C74" s="6">
        <v>767.46608333333347</v>
      </c>
      <c r="D74" s="6"/>
      <c r="E74" s="6">
        <v>250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spans="1:16" x14ac:dyDescent="0.35">
      <c r="A75" s="5" t="s">
        <v>496</v>
      </c>
      <c r="B75" s="6">
        <v>1119.133333333333</v>
      </c>
      <c r="C75" s="6">
        <v>762.06066666666686</v>
      </c>
      <c r="D75" s="6"/>
      <c r="E75" s="6">
        <v>250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spans="1:16" x14ac:dyDescent="0.35">
      <c r="A76" s="5" t="s">
        <v>497</v>
      </c>
      <c r="B76" s="6">
        <v>1142.3</v>
      </c>
      <c r="C76" s="6">
        <v>756.65525000000025</v>
      </c>
      <c r="D76" s="6"/>
      <c r="E76" s="6">
        <v>250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spans="1:16" x14ac:dyDescent="0.35">
      <c r="A77" s="5" t="s">
        <v>498</v>
      </c>
      <c r="B77" s="6">
        <v>1165.466666666666</v>
      </c>
      <c r="C77" s="6">
        <v>751.24983333333364</v>
      </c>
      <c r="D77" s="6"/>
      <c r="E77" s="6">
        <v>250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</row>
    <row r="78" spans="1:16" x14ac:dyDescent="0.35">
      <c r="A78" s="5" t="s">
        <v>499</v>
      </c>
      <c r="B78" s="6">
        <v>1188.633333333333</v>
      </c>
      <c r="C78" s="6">
        <v>745.84441666666703</v>
      </c>
      <c r="D78" s="6"/>
      <c r="E78" s="6">
        <v>250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spans="1:16" x14ac:dyDescent="0.35">
      <c r="A79" s="5" t="s">
        <v>500</v>
      </c>
      <c r="B79" s="6">
        <v>1211.8</v>
      </c>
      <c r="C79" s="6">
        <v>740.43900000000042</v>
      </c>
      <c r="D79" s="6"/>
      <c r="E79" s="6">
        <v>250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spans="1:16" x14ac:dyDescent="0.35">
      <c r="A80" s="5" t="s">
        <v>501</v>
      </c>
      <c r="B80" s="6">
        <v>1266.383333333333</v>
      </c>
      <c r="C80" s="6">
        <v>742.9973333333337</v>
      </c>
      <c r="D80" s="6"/>
      <c r="E80" s="6">
        <v>250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spans="1:16" x14ac:dyDescent="0.35">
      <c r="A81" s="5" t="s">
        <v>502</v>
      </c>
      <c r="B81" s="6">
        <v>1320.966666666666</v>
      </c>
      <c r="C81" s="6">
        <v>745.55566666666698</v>
      </c>
      <c r="D81" s="6"/>
      <c r="E81" s="6">
        <v>250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spans="1:16" x14ac:dyDescent="0.35">
      <c r="A82" s="5" t="s">
        <v>503</v>
      </c>
      <c r="B82" s="6">
        <v>1375.55</v>
      </c>
      <c r="C82" s="6">
        <v>748.11400000000026</v>
      </c>
      <c r="D82" s="6"/>
      <c r="E82" s="6">
        <v>250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 x14ac:dyDescent="0.35">
      <c r="A83" s="5" t="s">
        <v>504</v>
      </c>
      <c r="B83" s="6">
        <v>1430.133333333333</v>
      </c>
      <c r="C83" s="6">
        <v>750.67233333333354</v>
      </c>
      <c r="D83" s="6"/>
      <c r="E83" s="6">
        <v>250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 x14ac:dyDescent="0.35">
      <c r="A84" s="5" t="s">
        <v>505</v>
      </c>
      <c r="B84" s="6">
        <v>1484.716666666666</v>
      </c>
      <c r="C84" s="6">
        <v>753.23066666666682</v>
      </c>
      <c r="D84" s="6"/>
      <c r="E84" s="6">
        <v>250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spans="1:16" x14ac:dyDescent="0.35">
      <c r="A85" s="5" t="s">
        <v>506</v>
      </c>
      <c r="B85" s="6">
        <v>1539.299999999999</v>
      </c>
      <c r="C85" s="6">
        <v>755.7890000000001</v>
      </c>
      <c r="D85" s="6"/>
      <c r="E85" s="6">
        <v>250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spans="1:16" x14ac:dyDescent="0.35">
      <c r="A86" s="5" t="s">
        <v>507</v>
      </c>
      <c r="B86" s="6">
        <v>1593.883333333333</v>
      </c>
      <c r="C86" s="6">
        <v>758.34733333333338</v>
      </c>
      <c r="D86" s="6"/>
      <c r="E86" s="6">
        <v>250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</row>
    <row r="87" spans="1:16" x14ac:dyDescent="0.35">
      <c r="A87" s="5" t="s">
        <v>508</v>
      </c>
      <c r="B87" s="6">
        <v>1648.466666666666</v>
      </c>
      <c r="C87" s="6">
        <v>760.90566666666666</v>
      </c>
      <c r="D87" s="6"/>
      <c r="E87" s="6">
        <v>250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 spans="1:16" x14ac:dyDescent="0.35">
      <c r="A88" s="5" t="s">
        <v>509</v>
      </c>
      <c r="B88" s="6">
        <v>1703.049999999999</v>
      </c>
      <c r="C88" s="6">
        <v>763.46399999999994</v>
      </c>
      <c r="D88" s="6"/>
      <c r="E88" s="6">
        <v>250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</row>
    <row r="89" spans="1:16" x14ac:dyDescent="0.35">
      <c r="A89" s="5" t="s">
        <v>510</v>
      </c>
      <c r="B89" s="6">
        <v>1757.633333333333</v>
      </c>
      <c r="C89" s="6">
        <v>766.02233333333322</v>
      </c>
      <c r="D89" s="6"/>
      <c r="E89" s="6">
        <v>250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</row>
    <row r="90" spans="1:16" x14ac:dyDescent="0.35">
      <c r="A90" s="5" t="s">
        <v>511</v>
      </c>
      <c r="B90" s="6">
        <v>1812.216666666666</v>
      </c>
      <c r="C90" s="6">
        <v>768.5806666666665</v>
      </c>
      <c r="D90" s="6"/>
      <c r="E90" s="6">
        <v>250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</row>
    <row r="91" spans="1:16" x14ac:dyDescent="0.35">
      <c r="A91" s="5" t="s">
        <v>512</v>
      </c>
      <c r="B91" s="6">
        <v>1866.799999999999</v>
      </c>
      <c r="C91" s="6">
        <v>771.13899999999978</v>
      </c>
      <c r="D91" s="6"/>
      <c r="E91" s="6">
        <v>250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spans="1:16" x14ac:dyDescent="0.35">
      <c r="A92" s="5" t="s">
        <v>513</v>
      </c>
      <c r="B92" s="6">
        <v>1959.6333333333321</v>
      </c>
      <c r="C92" s="6">
        <v>785.70233333333317</v>
      </c>
      <c r="D92" s="6"/>
      <c r="E92" s="6">
        <v>250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spans="1:16" x14ac:dyDescent="0.35">
      <c r="A93" s="5" t="s">
        <v>514</v>
      </c>
      <c r="B93" s="6">
        <v>2052.4666666666658</v>
      </c>
      <c r="C93" s="6">
        <v>800.26566666666656</v>
      </c>
      <c r="D93" s="6"/>
      <c r="E93" s="6">
        <v>250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spans="1:16" x14ac:dyDescent="0.35">
      <c r="A94" s="5" t="s">
        <v>515</v>
      </c>
      <c r="B94" s="6">
        <v>2145.2999999999988</v>
      </c>
      <c r="C94" s="6">
        <v>814.82899999999995</v>
      </c>
      <c r="D94" s="6"/>
      <c r="E94" s="6">
        <v>250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</row>
    <row r="95" spans="1:16" x14ac:dyDescent="0.35">
      <c r="A95" s="5" t="s">
        <v>516</v>
      </c>
      <c r="B95" s="6">
        <v>2238.1333333333332</v>
      </c>
      <c r="C95" s="6">
        <v>829.39233333333334</v>
      </c>
      <c r="D95" s="6"/>
      <c r="E95" s="6">
        <v>250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</row>
    <row r="96" spans="1:16" x14ac:dyDescent="0.35">
      <c r="A96" s="5" t="s">
        <v>517</v>
      </c>
      <c r="B96" s="6">
        <v>2330.9666666666658</v>
      </c>
      <c r="C96" s="6">
        <v>843.95566666666673</v>
      </c>
      <c r="D96" s="6"/>
      <c r="E96" s="6">
        <v>250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</row>
    <row r="97" spans="1:16" x14ac:dyDescent="0.35">
      <c r="A97" s="5" t="s">
        <v>518</v>
      </c>
      <c r="B97" s="6">
        <v>2423.8000000000002</v>
      </c>
      <c r="C97" s="6">
        <v>858.51900000000012</v>
      </c>
      <c r="D97" s="6"/>
      <c r="E97" s="6">
        <v>250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</row>
    <row r="98" spans="1:16" x14ac:dyDescent="0.35">
      <c r="A98" s="5" t="s">
        <v>519</v>
      </c>
      <c r="B98" s="6">
        <v>2516.6333333333332</v>
      </c>
      <c r="C98" s="6">
        <v>873.08233333333351</v>
      </c>
      <c r="D98" s="6"/>
      <c r="E98" s="6">
        <v>250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</row>
    <row r="99" spans="1:16" x14ac:dyDescent="0.35">
      <c r="A99" s="5" t="s">
        <v>520</v>
      </c>
      <c r="B99" s="6">
        <v>2609.4666666666672</v>
      </c>
      <c r="C99" s="6">
        <v>887.6456666666669</v>
      </c>
      <c r="D99" s="6"/>
      <c r="E99" s="6">
        <v>250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spans="1:16" x14ac:dyDescent="0.35">
      <c r="A100" s="5" t="s">
        <v>521</v>
      </c>
      <c r="B100" s="6">
        <v>2702.3</v>
      </c>
      <c r="C100" s="6">
        <v>902.20900000000029</v>
      </c>
      <c r="D100" s="6"/>
      <c r="E100" s="6">
        <v>250</v>
      </c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</row>
  </sheetData>
  <autoFilter ref="A52:E100" xr:uid="{00000000-0009-0000-0000-000001000000}"/>
  <pageMargins left="0.75" right="0.75" top="1" bottom="1" header="0.5" footer="0.5"/>
  <pageSetup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6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4" customWidth="1"/>
    <col min="2" max="10" width="14" customWidth="1"/>
  </cols>
  <sheetData>
    <row r="1" spans="1:8" ht="25" x14ac:dyDescent="0.5">
      <c r="A1" s="1" t="s">
        <v>522</v>
      </c>
    </row>
    <row r="2" spans="1:8" x14ac:dyDescent="0.35">
      <c r="A2" s="2" t="s">
        <v>523</v>
      </c>
    </row>
    <row r="4" spans="1:8" ht="22" customHeight="1" x14ac:dyDescent="0.35">
      <c r="A4" s="3" t="s">
        <v>524</v>
      </c>
      <c r="B4" s="3">
        <v>2025</v>
      </c>
      <c r="C4" s="3">
        <v>2026</v>
      </c>
      <c r="D4" s="3">
        <v>2027</v>
      </c>
      <c r="E4" s="3">
        <v>2028</v>
      </c>
      <c r="F4" s="3">
        <v>2029</v>
      </c>
      <c r="G4" s="3">
        <v>2030</v>
      </c>
      <c r="H4" s="3">
        <v>2031</v>
      </c>
    </row>
    <row r="5" spans="1:8" x14ac:dyDescent="0.35">
      <c r="A5" s="8" t="s">
        <v>525</v>
      </c>
      <c r="B5" s="9">
        <v>170</v>
      </c>
      <c r="C5" s="9">
        <v>650</v>
      </c>
      <c r="D5" s="9">
        <v>1240</v>
      </c>
      <c r="E5" s="9">
        <v>2050</v>
      </c>
      <c r="F5" s="9">
        <v>3000</v>
      </c>
      <c r="G5" s="9">
        <v>4100</v>
      </c>
      <c r="H5" s="9">
        <v>5250</v>
      </c>
    </row>
    <row r="6" spans="1:8" x14ac:dyDescent="0.35">
      <c r="A6" s="5" t="s">
        <v>526</v>
      </c>
      <c r="B6" s="10">
        <v>5.0714285714285712</v>
      </c>
      <c r="C6" s="10">
        <v>2.8235294117647061</v>
      </c>
      <c r="D6" s="10">
        <v>0.9076923076923078</v>
      </c>
      <c r="E6" s="10">
        <v>0.65322580645161299</v>
      </c>
      <c r="F6" s="10">
        <v>0.46341463414634138</v>
      </c>
      <c r="G6" s="10">
        <v>0.3666666666666667</v>
      </c>
      <c r="H6" s="10">
        <v>0.28048780487804881</v>
      </c>
    </row>
    <row r="7" spans="1:8" x14ac:dyDescent="0.35">
      <c r="A7" s="5" t="s">
        <v>527</v>
      </c>
      <c r="B7" s="11">
        <v>122.4</v>
      </c>
      <c r="C7" s="11">
        <v>351</v>
      </c>
      <c r="D7" s="11">
        <v>520.80000000000007</v>
      </c>
      <c r="E7" s="11">
        <v>696.99999999999989</v>
      </c>
      <c r="F7" s="11">
        <v>870.00000000000011</v>
      </c>
      <c r="G7" s="11">
        <v>1066</v>
      </c>
      <c r="H7" s="11">
        <v>1260</v>
      </c>
    </row>
    <row r="8" spans="1:8" x14ac:dyDescent="0.35">
      <c r="A8" s="8" t="s">
        <v>528</v>
      </c>
      <c r="B8" s="9">
        <v>47.600000000000009</v>
      </c>
      <c r="C8" s="9">
        <v>299</v>
      </c>
      <c r="D8" s="9">
        <v>719.19999999999993</v>
      </c>
      <c r="E8" s="9">
        <v>1353</v>
      </c>
      <c r="F8" s="9">
        <v>2130</v>
      </c>
      <c r="G8" s="9">
        <v>3034</v>
      </c>
      <c r="H8" s="9">
        <v>3990</v>
      </c>
    </row>
    <row r="9" spans="1:8" x14ac:dyDescent="0.35">
      <c r="A9" s="5" t="s">
        <v>529</v>
      </c>
      <c r="B9" s="10">
        <v>0.28000000000000003</v>
      </c>
      <c r="C9" s="10">
        <v>0.46</v>
      </c>
      <c r="D9" s="10">
        <v>0.57999999999999996</v>
      </c>
      <c r="E9" s="10">
        <v>0.66</v>
      </c>
      <c r="F9" s="10">
        <v>0.71</v>
      </c>
      <c r="G9" s="10">
        <v>0.74</v>
      </c>
      <c r="H9" s="10">
        <v>0.76</v>
      </c>
    </row>
    <row r="10" spans="1:8" x14ac:dyDescent="0.35">
      <c r="A10" s="5" t="s">
        <v>530</v>
      </c>
      <c r="B10" s="11">
        <v>140</v>
      </c>
      <c r="C10" s="11">
        <v>300</v>
      </c>
      <c r="D10" s="11">
        <v>380</v>
      </c>
      <c r="E10" s="11">
        <v>500</v>
      </c>
      <c r="F10" s="11">
        <v>650</v>
      </c>
      <c r="G10" s="11">
        <v>820</v>
      </c>
      <c r="H10" s="11">
        <v>980</v>
      </c>
    </row>
    <row r="11" spans="1:8" x14ac:dyDescent="0.35">
      <c r="A11" s="5" t="s">
        <v>531</v>
      </c>
      <c r="B11" s="11">
        <v>70</v>
      </c>
      <c r="C11" s="11">
        <v>150</v>
      </c>
      <c r="D11" s="11">
        <v>250</v>
      </c>
      <c r="E11" s="11">
        <v>400</v>
      </c>
      <c r="F11" s="11">
        <v>600</v>
      </c>
      <c r="G11" s="11">
        <v>820</v>
      </c>
      <c r="H11" s="11">
        <v>1030</v>
      </c>
    </row>
    <row r="12" spans="1:8" x14ac:dyDescent="0.35">
      <c r="A12" s="5" t="s">
        <v>532</v>
      </c>
      <c r="B12" s="11">
        <v>45</v>
      </c>
      <c r="C12" s="11">
        <v>80</v>
      </c>
      <c r="D12" s="11">
        <v>110</v>
      </c>
      <c r="E12" s="11">
        <v>160</v>
      </c>
      <c r="F12" s="11">
        <v>220</v>
      </c>
      <c r="G12" s="11">
        <v>290</v>
      </c>
      <c r="H12" s="11">
        <v>360</v>
      </c>
    </row>
    <row r="13" spans="1:8" x14ac:dyDescent="0.35">
      <c r="A13" s="8" t="s">
        <v>533</v>
      </c>
      <c r="B13" s="12">
        <v>-207.4</v>
      </c>
      <c r="C13" s="12">
        <v>-231</v>
      </c>
      <c r="D13" s="12">
        <v>-20.800000000000072</v>
      </c>
      <c r="E13" s="12">
        <v>293</v>
      </c>
      <c r="F13" s="12">
        <v>660</v>
      </c>
      <c r="G13" s="12">
        <v>1104</v>
      </c>
      <c r="H13" s="12">
        <v>1620</v>
      </c>
    </row>
    <row r="14" spans="1:8" x14ac:dyDescent="0.35">
      <c r="A14" s="5" t="s">
        <v>534</v>
      </c>
      <c r="B14" s="13">
        <v>-1.22</v>
      </c>
      <c r="C14" s="13">
        <v>-0.35538461538461541</v>
      </c>
      <c r="D14" s="13">
        <v>-1.6774193548387151E-2</v>
      </c>
      <c r="E14" s="13">
        <v>0.1429268292682927</v>
      </c>
      <c r="F14" s="13">
        <v>0.22</v>
      </c>
      <c r="G14" s="13">
        <v>0.26926829268292679</v>
      </c>
      <c r="H14" s="13">
        <v>0.30857142857142861</v>
      </c>
    </row>
    <row r="15" spans="1:8" x14ac:dyDescent="0.35">
      <c r="A15" s="8" t="s">
        <v>535</v>
      </c>
      <c r="B15" s="12">
        <v>-207.4</v>
      </c>
      <c r="C15" s="12">
        <v>-231</v>
      </c>
      <c r="D15" s="12">
        <v>-20.800000000000072</v>
      </c>
      <c r="E15" s="12">
        <v>293</v>
      </c>
      <c r="F15" s="12">
        <v>660</v>
      </c>
      <c r="G15" s="12">
        <v>1104</v>
      </c>
      <c r="H15" s="12">
        <v>1620</v>
      </c>
    </row>
    <row r="16" spans="1:8" x14ac:dyDescent="0.35">
      <c r="A16" s="5" t="s">
        <v>536</v>
      </c>
      <c r="B16" s="11">
        <v>28</v>
      </c>
      <c r="C16" s="11">
        <v>65</v>
      </c>
      <c r="D16" s="11">
        <v>95</v>
      </c>
      <c r="E16" s="11">
        <v>130</v>
      </c>
      <c r="F16" s="11">
        <v>170</v>
      </c>
      <c r="G16" s="11">
        <v>220</v>
      </c>
      <c r="H16" s="11">
        <v>275</v>
      </c>
    </row>
  </sheetData>
  <autoFilter ref="A4:H16" xr:uid="{00000000-0009-0000-0000-000002000000}"/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94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4" customWidth="1"/>
    <col min="2" max="2" width="18" customWidth="1"/>
    <col min="3" max="3" width="14" customWidth="1"/>
    <col min="4" max="4" width="16" customWidth="1"/>
    <col min="5" max="5" width="20" customWidth="1"/>
    <col min="6" max="6" width="24" customWidth="1"/>
    <col min="7" max="7" width="20" customWidth="1"/>
    <col min="8" max="9" width="22" customWidth="1"/>
    <col min="10" max="11" width="18" customWidth="1"/>
    <col min="12" max="12" width="16" customWidth="1"/>
    <col min="13" max="13" width="18" customWidth="1"/>
    <col min="14" max="14" width="30" customWidth="1"/>
    <col min="15" max="15" width="22" customWidth="1"/>
    <col min="16" max="16" width="18" customWidth="1"/>
    <col min="17" max="17" width="34" customWidth="1"/>
  </cols>
  <sheetData>
    <row r="1" spans="1:8" ht="25" x14ac:dyDescent="0.5">
      <c r="A1" s="1" t="s">
        <v>537</v>
      </c>
    </row>
    <row r="2" spans="1:8" x14ac:dyDescent="0.35">
      <c r="A2" s="2" t="s">
        <v>538</v>
      </c>
    </row>
    <row r="4" spans="1:8" ht="22" customHeight="1" x14ac:dyDescent="0.35">
      <c r="A4" s="3" t="s">
        <v>539</v>
      </c>
      <c r="B4" s="3">
        <v>2025</v>
      </c>
      <c r="C4" s="3">
        <v>2026</v>
      </c>
      <c r="D4" s="3">
        <v>2027</v>
      </c>
      <c r="E4" s="3">
        <v>2028</v>
      </c>
      <c r="F4" s="3">
        <v>2029</v>
      </c>
      <c r="G4" s="3">
        <v>2030</v>
      </c>
      <c r="H4" s="3">
        <v>2031</v>
      </c>
    </row>
    <row r="5" spans="1:8" x14ac:dyDescent="0.35">
      <c r="A5" s="5" t="s">
        <v>535</v>
      </c>
      <c r="B5" s="14">
        <f>'P&amp;L'!B15</f>
        <v>-207.4</v>
      </c>
      <c r="C5" s="14">
        <f>'P&amp;L'!C15</f>
        <v>-231</v>
      </c>
      <c r="D5" s="14">
        <f>'P&amp;L'!D15</f>
        <v>-20.800000000000072</v>
      </c>
      <c r="E5" s="14">
        <f>'P&amp;L'!E15</f>
        <v>293</v>
      </c>
      <c r="F5" s="14">
        <f>'P&amp;L'!F15</f>
        <v>660</v>
      </c>
      <c r="G5" s="14">
        <f>'P&amp;L'!G15</f>
        <v>1104</v>
      </c>
      <c r="H5" s="14">
        <f>'P&amp;L'!H15</f>
        <v>1620</v>
      </c>
    </row>
    <row r="6" spans="1:8" ht="23" x14ac:dyDescent="0.35">
      <c r="A6" s="5" t="s">
        <v>540</v>
      </c>
      <c r="B6" s="11">
        <f>'P&amp;L'!B16</f>
        <v>28</v>
      </c>
      <c r="C6" s="11">
        <f>'P&amp;L'!C16</f>
        <v>65</v>
      </c>
      <c r="D6" s="11">
        <f>'P&amp;L'!D16</f>
        <v>95</v>
      </c>
      <c r="E6" s="11">
        <f>'P&amp;L'!E16</f>
        <v>130</v>
      </c>
      <c r="F6" s="11">
        <f>'P&amp;L'!F16</f>
        <v>170</v>
      </c>
      <c r="G6" s="11">
        <f>'P&amp;L'!G16</f>
        <v>220</v>
      </c>
      <c r="H6" s="11">
        <f>'P&amp;L'!H16</f>
        <v>275</v>
      </c>
    </row>
    <row r="7" spans="1:8" ht="23" x14ac:dyDescent="0.35">
      <c r="A7" s="5" t="s">
        <v>541</v>
      </c>
      <c r="B7" s="14">
        <v>-10</v>
      </c>
      <c r="C7" s="14">
        <v>-20</v>
      </c>
      <c r="D7" s="14">
        <v>-30</v>
      </c>
      <c r="E7" s="14">
        <v>-35</v>
      </c>
      <c r="F7" s="14">
        <v>-40</v>
      </c>
      <c r="G7" s="14">
        <v>-50</v>
      </c>
      <c r="H7" s="14">
        <v>-60</v>
      </c>
    </row>
    <row r="8" spans="1:8" ht="23" x14ac:dyDescent="0.35">
      <c r="A8" s="5" t="s">
        <v>542</v>
      </c>
      <c r="B8" s="14">
        <f t="shared" ref="B8:H8" si="0">B5+B6+B7</f>
        <v>-189.4</v>
      </c>
      <c r="C8" s="14">
        <f t="shared" si="0"/>
        <v>-186</v>
      </c>
      <c r="D8" s="14">
        <f t="shared" si="0"/>
        <v>44.199999999999932</v>
      </c>
      <c r="E8" s="14">
        <f t="shared" si="0"/>
        <v>388</v>
      </c>
      <c r="F8" s="14">
        <f t="shared" si="0"/>
        <v>790</v>
      </c>
      <c r="G8" s="14">
        <f t="shared" si="0"/>
        <v>1274</v>
      </c>
      <c r="H8" s="14">
        <f t="shared" si="0"/>
        <v>1835</v>
      </c>
    </row>
    <row r="9" spans="1:8" ht="23" x14ac:dyDescent="0.35">
      <c r="A9" s="5" t="s">
        <v>543</v>
      </c>
      <c r="B9" s="14">
        <v>-35</v>
      </c>
      <c r="C9" s="14">
        <v>-70</v>
      </c>
      <c r="D9" s="14">
        <v>-90</v>
      </c>
      <c r="E9" s="14">
        <v>-110</v>
      </c>
      <c r="F9" s="14">
        <v>-135</v>
      </c>
      <c r="G9" s="14">
        <v>-160</v>
      </c>
      <c r="H9" s="14">
        <v>-190</v>
      </c>
    </row>
    <row r="10" spans="1:8" x14ac:dyDescent="0.35">
      <c r="A10" s="5" t="s">
        <v>544</v>
      </c>
      <c r="B10" s="14">
        <f t="shared" ref="B10:H10" si="1">B8+B9</f>
        <v>-224.4</v>
      </c>
      <c r="C10" s="14">
        <f t="shared" si="1"/>
        <v>-256</v>
      </c>
      <c r="D10" s="14">
        <f t="shared" si="1"/>
        <v>-45.800000000000068</v>
      </c>
      <c r="E10" s="14">
        <f t="shared" si="1"/>
        <v>278</v>
      </c>
      <c r="F10" s="14">
        <f t="shared" si="1"/>
        <v>655</v>
      </c>
      <c r="G10" s="14">
        <f t="shared" si="1"/>
        <v>1114</v>
      </c>
      <c r="H10" s="14">
        <f t="shared" si="1"/>
        <v>1645</v>
      </c>
    </row>
    <row r="11" spans="1:8" ht="23" x14ac:dyDescent="0.35">
      <c r="A11" s="5" t="s">
        <v>545</v>
      </c>
      <c r="B11" s="11">
        <v>250</v>
      </c>
      <c r="C11" s="11">
        <v>400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</row>
    <row r="12" spans="1:8" x14ac:dyDescent="0.35">
      <c r="A12" s="5" t="s">
        <v>546</v>
      </c>
      <c r="B12" s="11">
        <v>0</v>
      </c>
      <c r="C12" s="11">
        <v>800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</row>
    <row r="13" spans="1:8" x14ac:dyDescent="0.35">
      <c r="A13" s="5" t="s">
        <v>547</v>
      </c>
      <c r="B13" s="14">
        <v>0</v>
      </c>
      <c r="C13" s="14">
        <v>-30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</row>
    <row r="14" spans="1:8" ht="23" x14ac:dyDescent="0.35">
      <c r="A14" s="5" t="s">
        <v>548</v>
      </c>
      <c r="B14" s="14">
        <f t="shared" ref="B14:H14" si="2">B10+B11+B12+B13</f>
        <v>25.599999999999994</v>
      </c>
      <c r="C14" s="14">
        <f t="shared" si="2"/>
        <v>914</v>
      </c>
      <c r="D14" s="14">
        <f t="shared" si="2"/>
        <v>-45.800000000000068</v>
      </c>
      <c r="E14" s="14">
        <f t="shared" si="2"/>
        <v>278</v>
      </c>
      <c r="F14" s="14">
        <f t="shared" si="2"/>
        <v>655</v>
      </c>
      <c r="G14" s="14">
        <f t="shared" si="2"/>
        <v>1114</v>
      </c>
      <c r="H14" s="14">
        <f t="shared" si="2"/>
        <v>1645</v>
      </c>
    </row>
    <row r="15" spans="1:8" x14ac:dyDescent="0.35">
      <c r="A15" s="5" t="s">
        <v>549</v>
      </c>
      <c r="B15" s="11">
        <v>40</v>
      </c>
      <c r="C15" s="11">
        <f t="shared" ref="C15:H15" si="3">B16</f>
        <v>65.599999999999994</v>
      </c>
      <c r="D15" s="11">
        <f t="shared" si="3"/>
        <v>979.6</v>
      </c>
      <c r="E15" s="11">
        <f t="shared" si="3"/>
        <v>933.8</v>
      </c>
      <c r="F15" s="11">
        <f t="shared" si="3"/>
        <v>1211.8</v>
      </c>
      <c r="G15" s="11">
        <f t="shared" si="3"/>
        <v>1866.8</v>
      </c>
      <c r="H15" s="11">
        <f t="shared" si="3"/>
        <v>2980.8</v>
      </c>
    </row>
    <row r="16" spans="1:8" x14ac:dyDescent="0.35">
      <c r="A16" s="5" t="s">
        <v>550</v>
      </c>
      <c r="B16" s="11">
        <f t="shared" ref="B16:H16" si="4">B15+B14</f>
        <v>65.599999999999994</v>
      </c>
      <c r="C16" s="11">
        <f t="shared" si="4"/>
        <v>979.6</v>
      </c>
      <c r="D16" s="11">
        <f t="shared" si="4"/>
        <v>933.8</v>
      </c>
      <c r="E16" s="11">
        <f t="shared" si="4"/>
        <v>1211.8</v>
      </c>
      <c r="F16" s="11">
        <f t="shared" si="4"/>
        <v>1866.8</v>
      </c>
      <c r="G16" s="11">
        <f t="shared" si="4"/>
        <v>2980.8</v>
      </c>
      <c r="H16" s="11">
        <f t="shared" si="4"/>
        <v>4625.8</v>
      </c>
    </row>
    <row r="19" spans="1:17" ht="22" customHeight="1" x14ac:dyDescent="0.35">
      <c r="A19" s="3" t="s">
        <v>551</v>
      </c>
      <c r="B19" s="3" t="s">
        <v>3</v>
      </c>
      <c r="C19" s="3" t="s">
        <v>552</v>
      </c>
    </row>
    <row r="20" spans="1:17" ht="23" x14ac:dyDescent="0.35">
      <c r="A20" s="5" t="s">
        <v>553</v>
      </c>
      <c r="B20" s="11">
        <v>273.60000000000002</v>
      </c>
      <c r="C20" s="5" t="s">
        <v>554</v>
      </c>
    </row>
    <row r="21" spans="1:17" ht="23" x14ac:dyDescent="0.35">
      <c r="A21" s="5" t="s">
        <v>555</v>
      </c>
      <c r="B21" s="11">
        <v>250</v>
      </c>
      <c r="C21" s="5" t="s">
        <v>554</v>
      </c>
    </row>
    <row r="22" spans="1:17" x14ac:dyDescent="0.35">
      <c r="A22" s="5" t="s">
        <v>556</v>
      </c>
      <c r="B22" s="15">
        <v>46356</v>
      </c>
      <c r="C22" s="5" t="s">
        <v>554</v>
      </c>
    </row>
    <row r="23" spans="1:17" ht="23" x14ac:dyDescent="0.35">
      <c r="A23" s="5" t="s">
        <v>557</v>
      </c>
      <c r="B23" s="11">
        <v>770</v>
      </c>
      <c r="C23" s="5" t="s">
        <v>558</v>
      </c>
    </row>
    <row r="24" spans="1:17" ht="34.5" x14ac:dyDescent="0.35">
      <c r="A24" s="5" t="s">
        <v>559</v>
      </c>
      <c r="B24" s="15">
        <v>46356</v>
      </c>
      <c r="C24" s="5" t="s">
        <v>558</v>
      </c>
    </row>
    <row r="25" spans="1:17" x14ac:dyDescent="0.35">
      <c r="A25" s="5" t="s">
        <v>560</v>
      </c>
      <c r="B25" s="15">
        <v>47756</v>
      </c>
      <c r="C25" s="5" t="s">
        <v>554</v>
      </c>
    </row>
    <row r="26" spans="1:17" ht="23" x14ac:dyDescent="0.35">
      <c r="A26" s="5" t="s">
        <v>561</v>
      </c>
      <c r="B26" s="11">
        <v>2702.3</v>
      </c>
      <c r="C26" s="5" t="s">
        <v>558</v>
      </c>
    </row>
    <row r="27" spans="1:17" ht="23" x14ac:dyDescent="0.35">
      <c r="A27" s="5" t="s">
        <v>562</v>
      </c>
      <c r="B27" s="11">
        <v>902.20900000000029</v>
      </c>
      <c r="C27" s="5" t="s">
        <v>558</v>
      </c>
    </row>
    <row r="28" spans="1:17" ht="23" x14ac:dyDescent="0.35">
      <c r="A28" s="5" t="s">
        <v>563</v>
      </c>
      <c r="B28" s="4" t="s">
        <v>564</v>
      </c>
      <c r="C28" s="5" t="s">
        <v>558</v>
      </c>
    </row>
    <row r="31" spans="1:17" ht="22" customHeight="1" x14ac:dyDescent="0.35">
      <c r="A31" s="3" t="s">
        <v>469</v>
      </c>
      <c r="B31" s="3" t="s">
        <v>549</v>
      </c>
      <c r="C31" s="3" t="s">
        <v>525</v>
      </c>
      <c r="D31" s="3" t="s">
        <v>528</v>
      </c>
      <c r="E31" s="3" t="s">
        <v>565</v>
      </c>
      <c r="F31" s="3" t="s">
        <v>566</v>
      </c>
      <c r="G31" s="3" t="s">
        <v>540</v>
      </c>
      <c r="H31" s="3" t="s">
        <v>543</v>
      </c>
      <c r="I31" s="3" t="s">
        <v>567</v>
      </c>
      <c r="J31" s="3" t="s">
        <v>544</v>
      </c>
      <c r="K31" s="3" t="s">
        <v>546</v>
      </c>
      <c r="L31" s="3" t="s">
        <v>547</v>
      </c>
      <c r="M31" s="3" t="s">
        <v>550</v>
      </c>
      <c r="N31" s="3" t="s">
        <v>568</v>
      </c>
      <c r="O31" s="3" t="s">
        <v>569</v>
      </c>
      <c r="P31" s="3" t="s">
        <v>473</v>
      </c>
      <c r="Q31" s="3" t="s">
        <v>570</v>
      </c>
    </row>
    <row r="32" spans="1:17" x14ac:dyDescent="0.35">
      <c r="A32" s="16">
        <v>46326</v>
      </c>
      <c r="B32" s="11">
        <v>273.60000000000002</v>
      </c>
      <c r="C32" s="11">
        <v>54.166666666666657</v>
      </c>
      <c r="D32" s="11">
        <v>24.916666666666671</v>
      </c>
      <c r="E32" s="11">
        <v>44.166666666666657</v>
      </c>
      <c r="F32" s="14">
        <v>-19.25</v>
      </c>
      <c r="G32" s="11">
        <v>5.416666666666667</v>
      </c>
      <c r="H32" s="11">
        <v>5.833333333333333</v>
      </c>
      <c r="I32" s="11">
        <v>1.666666666666667</v>
      </c>
      <c r="J32" s="14">
        <v>-21.333333333333329</v>
      </c>
      <c r="K32" s="11">
        <v>0</v>
      </c>
      <c r="L32" s="11">
        <v>0</v>
      </c>
      <c r="M32" s="11">
        <v>252.26666666666671</v>
      </c>
      <c r="N32" s="14">
        <v>252.26666666666671</v>
      </c>
      <c r="O32" s="14">
        <v>252.26666666666671</v>
      </c>
      <c r="P32" s="11">
        <v>250</v>
      </c>
      <c r="Q32" s="4"/>
    </row>
    <row r="33" spans="1:17" ht="23" x14ac:dyDescent="0.35">
      <c r="A33" s="16">
        <v>46356</v>
      </c>
      <c r="B33" s="11">
        <v>252.26666666666671</v>
      </c>
      <c r="C33" s="11">
        <v>54.166666666666657</v>
      </c>
      <c r="D33" s="11">
        <v>24.916666666666671</v>
      </c>
      <c r="E33" s="11">
        <v>44.166666666666657</v>
      </c>
      <c r="F33" s="14">
        <v>-19.25</v>
      </c>
      <c r="G33" s="11">
        <v>5.416666666666667</v>
      </c>
      <c r="H33" s="11">
        <v>5.833333333333333</v>
      </c>
      <c r="I33" s="11">
        <v>1.666666666666667</v>
      </c>
      <c r="J33" s="14">
        <v>-21.333333333333329</v>
      </c>
      <c r="K33" s="11">
        <v>800</v>
      </c>
      <c r="L33" s="11">
        <v>30</v>
      </c>
      <c r="M33" s="11">
        <v>1000.9333333333331</v>
      </c>
      <c r="N33" s="14">
        <v>230.93333333333339</v>
      </c>
      <c r="O33" s="14">
        <v>1000.9333333333331</v>
      </c>
      <c r="P33" s="11">
        <v>250</v>
      </c>
      <c r="Q33" s="4" t="s">
        <v>571</v>
      </c>
    </row>
    <row r="34" spans="1:17" x14ac:dyDescent="0.35">
      <c r="A34" s="16">
        <v>46387</v>
      </c>
      <c r="B34" s="11">
        <v>1000.9333333333331</v>
      </c>
      <c r="C34" s="11">
        <v>54.166666666666657</v>
      </c>
      <c r="D34" s="11">
        <v>24.916666666666671</v>
      </c>
      <c r="E34" s="11">
        <v>44.166666666666657</v>
      </c>
      <c r="F34" s="14">
        <v>-19.25</v>
      </c>
      <c r="G34" s="11">
        <v>5.416666666666667</v>
      </c>
      <c r="H34" s="11">
        <v>5.833333333333333</v>
      </c>
      <c r="I34" s="11">
        <v>1.666666666666667</v>
      </c>
      <c r="J34" s="14">
        <v>-21.333333333333329</v>
      </c>
      <c r="K34" s="11">
        <v>0</v>
      </c>
      <c r="L34" s="11">
        <v>0</v>
      </c>
      <c r="M34" s="11">
        <v>979.6</v>
      </c>
      <c r="N34" s="14">
        <v>209.60000000000011</v>
      </c>
      <c r="O34" s="14">
        <v>979.6</v>
      </c>
      <c r="P34" s="11">
        <v>250</v>
      </c>
      <c r="Q34" s="4"/>
    </row>
    <row r="35" spans="1:17" x14ac:dyDescent="0.35">
      <c r="A35" s="16">
        <v>46418</v>
      </c>
      <c r="B35" s="11">
        <v>979.6</v>
      </c>
      <c r="C35" s="11">
        <v>103.3333333333333</v>
      </c>
      <c r="D35" s="11">
        <v>59.933333333333323</v>
      </c>
      <c r="E35" s="11">
        <v>61.666666666666657</v>
      </c>
      <c r="F35" s="14">
        <v>-1.7333333333333409</v>
      </c>
      <c r="G35" s="11">
        <v>7.916666666666667</v>
      </c>
      <c r="H35" s="11">
        <v>7.5</v>
      </c>
      <c r="I35" s="11">
        <v>2.5</v>
      </c>
      <c r="J35" s="14">
        <v>-3.816666666666674</v>
      </c>
      <c r="K35" s="11">
        <v>0</v>
      </c>
      <c r="L35" s="11">
        <v>0</v>
      </c>
      <c r="M35" s="11">
        <v>975.7833333333333</v>
      </c>
      <c r="N35" s="14">
        <v>205.78333333333339</v>
      </c>
      <c r="O35" s="14">
        <v>965.07533333333333</v>
      </c>
      <c r="P35" s="11">
        <v>250</v>
      </c>
      <c r="Q35" s="4"/>
    </row>
    <row r="36" spans="1:17" x14ac:dyDescent="0.35">
      <c r="A36" s="16">
        <v>46446</v>
      </c>
      <c r="B36" s="11">
        <v>975.7833333333333</v>
      </c>
      <c r="C36" s="11">
        <v>103.3333333333333</v>
      </c>
      <c r="D36" s="11">
        <v>59.933333333333323</v>
      </c>
      <c r="E36" s="11">
        <v>61.666666666666657</v>
      </c>
      <c r="F36" s="14">
        <v>-1.7333333333333409</v>
      </c>
      <c r="G36" s="11">
        <v>7.916666666666667</v>
      </c>
      <c r="H36" s="11">
        <v>7.5</v>
      </c>
      <c r="I36" s="11">
        <v>2.5</v>
      </c>
      <c r="J36" s="14">
        <v>-3.816666666666674</v>
      </c>
      <c r="K36" s="11">
        <v>0</v>
      </c>
      <c r="L36" s="11">
        <v>0</v>
      </c>
      <c r="M36" s="11">
        <v>971.96666666666658</v>
      </c>
      <c r="N36" s="14">
        <v>201.96666666666681</v>
      </c>
      <c r="O36" s="14">
        <v>950.55066666666664</v>
      </c>
      <c r="P36" s="11">
        <v>250</v>
      </c>
      <c r="Q36" s="4"/>
    </row>
    <row r="37" spans="1:17" x14ac:dyDescent="0.35">
      <c r="A37" s="16">
        <v>46477</v>
      </c>
      <c r="B37" s="11">
        <v>971.96666666666658</v>
      </c>
      <c r="C37" s="11">
        <v>103.3333333333333</v>
      </c>
      <c r="D37" s="11">
        <v>59.933333333333323</v>
      </c>
      <c r="E37" s="11">
        <v>61.666666666666657</v>
      </c>
      <c r="F37" s="14">
        <v>-1.7333333333333409</v>
      </c>
      <c r="G37" s="11">
        <v>7.916666666666667</v>
      </c>
      <c r="H37" s="11">
        <v>7.5</v>
      </c>
      <c r="I37" s="11">
        <v>2.5</v>
      </c>
      <c r="J37" s="14">
        <v>-3.816666666666674</v>
      </c>
      <c r="K37" s="11">
        <v>0</v>
      </c>
      <c r="L37" s="11">
        <v>0</v>
      </c>
      <c r="M37" s="11">
        <v>968.14999999999986</v>
      </c>
      <c r="N37" s="14">
        <v>198.15000000000009</v>
      </c>
      <c r="O37" s="14">
        <v>936.02599999999995</v>
      </c>
      <c r="P37" s="11">
        <v>250</v>
      </c>
      <c r="Q37" s="4"/>
    </row>
    <row r="38" spans="1:17" x14ac:dyDescent="0.35">
      <c r="A38" s="16">
        <v>46507</v>
      </c>
      <c r="B38" s="11">
        <v>968.14999999999986</v>
      </c>
      <c r="C38" s="11">
        <v>103.3333333333333</v>
      </c>
      <c r="D38" s="11">
        <v>59.933333333333323</v>
      </c>
      <c r="E38" s="11">
        <v>61.666666666666657</v>
      </c>
      <c r="F38" s="14">
        <v>-1.7333333333333409</v>
      </c>
      <c r="G38" s="11">
        <v>7.916666666666667</v>
      </c>
      <c r="H38" s="11">
        <v>7.5</v>
      </c>
      <c r="I38" s="11">
        <v>2.5</v>
      </c>
      <c r="J38" s="14">
        <v>-3.816666666666674</v>
      </c>
      <c r="K38" s="11">
        <v>0</v>
      </c>
      <c r="L38" s="11">
        <v>0</v>
      </c>
      <c r="M38" s="11">
        <v>964.33333333333314</v>
      </c>
      <c r="N38" s="14">
        <v>194.3333333333334</v>
      </c>
      <c r="O38" s="14">
        <v>921.50133333333326</v>
      </c>
      <c r="P38" s="11">
        <v>250</v>
      </c>
      <c r="Q38" s="4"/>
    </row>
    <row r="39" spans="1:17" x14ac:dyDescent="0.35">
      <c r="A39" s="16">
        <v>46538</v>
      </c>
      <c r="B39" s="11">
        <v>964.33333333333314</v>
      </c>
      <c r="C39" s="11">
        <v>103.3333333333333</v>
      </c>
      <c r="D39" s="11">
        <v>59.933333333333323</v>
      </c>
      <c r="E39" s="11">
        <v>61.666666666666657</v>
      </c>
      <c r="F39" s="14">
        <v>-1.7333333333333409</v>
      </c>
      <c r="G39" s="11">
        <v>7.916666666666667</v>
      </c>
      <c r="H39" s="11">
        <v>7.5</v>
      </c>
      <c r="I39" s="11">
        <v>2.5</v>
      </c>
      <c r="J39" s="14">
        <v>-3.816666666666674</v>
      </c>
      <c r="K39" s="11">
        <v>0</v>
      </c>
      <c r="L39" s="11">
        <v>0</v>
      </c>
      <c r="M39" s="11">
        <v>960.51666666666642</v>
      </c>
      <c r="N39" s="14">
        <v>190.51666666666679</v>
      </c>
      <c r="O39" s="14">
        <v>906.97666666666657</v>
      </c>
      <c r="P39" s="11">
        <v>250</v>
      </c>
      <c r="Q39" s="4"/>
    </row>
    <row r="40" spans="1:17" x14ac:dyDescent="0.35">
      <c r="A40" s="16">
        <v>46568</v>
      </c>
      <c r="B40" s="11">
        <v>960.51666666666642</v>
      </c>
      <c r="C40" s="11">
        <v>103.3333333333333</v>
      </c>
      <c r="D40" s="11">
        <v>59.933333333333323</v>
      </c>
      <c r="E40" s="11">
        <v>61.666666666666657</v>
      </c>
      <c r="F40" s="14">
        <v>-1.7333333333333409</v>
      </c>
      <c r="G40" s="11">
        <v>7.916666666666667</v>
      </c>
      <c r="H40" s="11">
        <v>7.5</v>
      </c>
      <c r="I40" s="11">
        <v>2.5</v>
      </c>
      <c r="J40" s="14">
        <v>-3.816666666666674</v>
      </c>
      <c r="K40" s="11">
        <v>0</v>
      </c>
      <c r="L40" s="11">
        <v>0</v>
      </c>
      <c r="M40" s="11">
        <v>956.6999999999997</v>
      </c>
      <c r="N40" s="14">
        <v>186.7000000000001</v>
      </c>
      <c r="O40" s="14">
        <v>892.45199999999988</v>
      </c>
      <c r="P40" s="11">
        <v>250</v>
      </c>
      <c r="Q40" s="4"/>
    </row>
    <row r="41" spans="1:17" x14ac:dyDescent="0.35">
      <c r="A41" s="16">
        <v>46599</v>
      </c>
      <c r="B41" s="11">
        <v>956.6999999999997</v>
      </c>
      <c r="C41" s="11">
        <v>103.3333333333333</v>
      </c>
      <c r="D41" s="11">
        <v>59.933333333333323</v>
      </c>
      <c r="E41" s="11">
        <v>61.666666666666657</v>
      </c>
      <c r="F41" s="14">
        <v>-1.7333333333333409</v>
      </c>
      <c r="G41" s="11">
        <v>7.916666666666667</v>
      </c>
      <c r="H41" s="11">
        <v>7.5</v>
      </c>
      <c r="I41" s="11">
        <v>2.5</v>
      </c>
      <c r="J41" s="14">
        <v>-3.816666666666674</v>
      </c>
      <c r="K41" s="11">
        <v>0</v>
      </c>
      <c r="L41" s="11">
        <v>0</v>
      </c>
      <c r="M41" s="11">
        <v>952.88333333333298</v>
      </c>
      <c r="N41" s="14">
        <v>182.88333333333341</v>
      </c>
      <c r="O41" s="14">
        <v>877.92733333333319</v>
      </c>
      <c r="P41" s="11">
        <v>250</v>
      </c>
      <c r="Q41" s="4"/>
    </row>
    <row r="42" spans="1:17" x14ac:dyDescent="0.35">
      <c r="A42" s="16">
        <v>46630</v>
      </c>
      <c r="B42" s="11">
        <v>952.88333333333298</v>
      </c>
      <c r="C42" s="11">
        <v>103.3333333333333</v>
      </c>
      <c r="D42" s="11">
        <v>59.933333333333323</v>
      </c>
      <c r="E42" s="11">
        <v>61.666666666666657</v>
      </c>
      <c r="F42" s="14">
        <v>-1.7333333333333409</v>
      </c>
      <c r="G42" s="11">
        <v>7.916666666666667</v>
      </c>
      <c r="H42" s="11">
        <v>7.5</v>
      </c>
      <c r="I42" s="11">
        <v>2.5</v>
      </c>
      <c r="J42" s="14">
        <v>-3.816666666666674</v>
      </c>
      <c r="K42" s="11">
        <v>0</v>
      </c>
      <c r="L42" s="11">
        <v>0</v>
      </c>
      <c r="M42" s="11">
        <v>949.06666666666626</v>
      </c>
      <c r="N42" s="14">
        <v>179.0666666666668</v>
      </c>
      <c r="O42" s="14">
        <v>863.40266666666651</v>
      </c>
      <c r="P42" s="11">
        <v>250</v>
      </c>
      <c r="Q42" s="4"/>
    </row>
    <row r="43" spans="1:17" x14ac:dyDescent="0.35">
      <c r="A43" s="16">
        <v>46660</v>
      </c>
      <c r="B43" s="11">
        <v>949.06666666666626</v>
      </c>
      <c r="C43" s="11">
        <v>103.3333333333333</v>
      </c>
      <c r="D43" s="11">
        <v>59.933333333333323</v>
      </c>
      <c r="E43" s="11">
        <v>61.666666666666657</v>
      </c>
      <c r="F43" s="14">
        <v>-1.7333333333333409</v>
      </c>
      <c r="G43" s="11">
        <v>7.916666666666667</v>
      </c>
      <c r="H43" s="11">
        <v>7.5</v>
      </c>
      <c r="I43" s="11">
        <v>2.5</v>
      </c>
      <c r="J43" s="14">
        <v>-3.816666666666674</v>
      </c>
      <c r="K43" s="11">
        <v>0</v>
      </c>
      <c r="L43" s="11">
        <v>0</v>
      </c>
      <c r="M43" s="11">
        <v>945.24999999999955</v>
      </c>
      <c r="N43" s="14">
        <v>175.25000000000011</v>
      </c>
      <c r="O43" s="14">
        <v>848.87799999999982</v>
      </c>
      <c r="P43" s="11">
        <v>250</v>
      </c>
      <c r="Q43" s="4"/>
    </row>
    <row r="44" spans="1:17" x14ac:dyDescent="0.35">
      <c r="A44" s="16">
        <v>46691</v>
      </c>
      <c r="B44" s="11">
        <v>945.24999999999955</v>
      </c>
      <c r="C44" s="11">
        <v>103.3333333333333</v>
      </c>
      <c r="D44" s="11">
        <v>59.933333333333323</v>
      </c>
      <c r="E44" s="11">
        <v>61.666666666666657</v>
      </c>
      <c r="F44" s="14">
        <v>-1.7333333333333409</v>
      </c>
      <c r="G44" s="11">
        <v>7.916666666666667</v>
      </c>
      <c r="H44" s="11">
        <v>7.5</v>
      </c>
      <c r="I44" s="11">
        <v>2.5</v>
      </c>
      <c r="J44" s="14">
        <v>-3.816666666666674</v>
      </c>
      <c r="K44" s="11">
        <v>0</v>
      </c>
      <c r="L44" s="11">
        <v>0</v>
      </c>
      <c r="M44" s="11">
        <v>941.43333333333283</v>
      </c>
      <c r="N44" s="14">
        <v>171.43333333333351</v>
      </c>
      <c r="O44" s="14">
        <v>834.35333333333313</v>
      </c>
      <c r="P44" s="11">
        <v>250</v>
      </c>
      <c r="Q44" s="4"/>
    </row>
    <row r="45" spans="1:17" x14ac:dyDescent="0.35">
      <c r="A45" s="16">
        <v>46721</v>
      </c>
      <c r="B45" s="11">
        <v>941.43333333333283</v>
      </c>
      <c r="C45" s="11">
        <v>103.3333333333333</v>
      </c>
      <c r="D45" s="11">
        <v>59.933333333333323</v>
      </c>
      <c r="E45" s="11">
        <v>61.666666666666657</v>
      </c>
      <c r="F45" s="14">
        <v>-1.7333333333333409</v>
      </c>
      <c r="G45" s="11">
        <v>7.916666666666667</v>
      </c>
      <c r="H45" s="11">
        <v>7.5</v>
      </c>
      <c r="I45" s="11">
        <v>2.5</v>
      </c>
      <c r="J45" s="14">
        <v>-3.816666666666674</v>
      </c>
      <c r="K45" s="11">
        <v>0</v>
      </c>
      <c r="L45" s="11">
        <v>0</v>
      </c>
      <c r="M45" s="11">
        <v>937.61666666666611</v>
      </c>
      <c r="N45" s="14">
        <v>167.61666666666679</v>
      </c>
      <c r="O45" s="14">
        <v>819.82866666666644</v>
      </c>
      <c r="P45" s="11">
        <v>250</v>
      </c>
      <c r="Q45" s="4"/>
    </row>
    <row r="46" spans="1:17" x14ac:dyDescent="0.35">
      <c r="A46" s="16">
        <v>46752</v>
      </c>
      <c r="B46" s="11">
        <v>937.61666666666611</v>
      </c>
      <c r="C46" s="11">
        <v>103.3333333333333</v>
      </c>
      <c r="D46" s="11">
        <v>59.933333333333323</v>
      </c>
      <c r="E46" s="11">
        <v>61.666666666666657</v>
      </c>
      <c r="F46" s="14">
        <v>-1.7333333333333409</v>
      </c>
      <c r="G46" s="11">
        <v>7.916666666666667</v>
      </c>
      <c r="H46" s="11">
        <v>7.5</v>
      </c>
      <c r="I46" s="11">
        <v>2.5</v>
      </c>
      <c r="J46" s="14">
        <v>-3.816666666666674</v>
      </c>
      <c r="K46" s="11">
        <v>0</v>
      </c>
      <c r="L46" s="11">
        <v>0</v>
      </c>
      <c r="M46" s="11">
        <v>933.79999999999939</v>
      </c>
      <c r="N46" s="14">
        <v>163.8000000000001</v>
      </c>
      <c r="O46" s="14">
        <v>805.30399999999975</v>
      </c>
      <c r="P46" s="11">
        <v>250</v>
      </c>
      <c r="Q46" s="4"/>
    </row>
    <row r="47" spans="1:17" x14ac:dyDescent="0.35">
      <c r="A47" s="16">
        <v>46783</v>
      </c>
      <c r="B47" s="11">
        <v>933.79999999999939</v>
      </c>
      <c r="C47" s="11">
        <v>170.83333333333329</v>
      </c>
      <c r="D47" s="11">
        <v>112.75</v>
      </c>
      <c r="E47" s="11">
        <v>88.333333333333329</v>
      </c>
      <c r="F47" s="14">
        <v>24.416666666666661</v>
      </c>
      <c r="G47" s="11">
        <v>10.83333333333333</v>
      </c>
      <c r="H47" s="11">
        <v>9.1666666666666661</v>
      </c>
      <c r="I47" s="11">
        <v>2.916666666666667</v>
      </c>
      <c r="J47" s="14">
        <v>23.166666666666661</v>
      </c>
      <c r="K47" s="11">
        <v>0</v>
      </c>
      <c r="L47" s="11">
        <v>0</v>
      </c>
      <c r="M47" s="11">
        <v>956.96666666666601</v>
      </c>
      <c r="N47" s="14">
        <v>186.96666666666681</v>
      </c>
      <c r="O47" s="14">
        <v>799.89858333333314</v>
      </c>
      <c r="P47" s="11">
        <v>250</v>
      </c>
      <c r="Q47" s="4"/>
    </row>
    <row r="48" spans="1:17" x14ac:dyDescent="0.35">
      <c r="A48" s="16">
        <v>46812</v>
      </c>
      <c r="B48" s="11">
        <v>956.96666666666601</v>
      </c>
      <c r="C48" s="11">
        <v>170.83333333333329</v>
      </c>
      <c r="D48" s="11">
        <v>112.75</v>
      </c>
      <c r="E48" s="11">
        <v>88.333333333333329</v>
      </c>
      <c r="F48" s="14">
        <v>24.416666666666661</v>
      </c>
      <c r="G48" s="11">
        <v>10.83333333333333</v>
      </c>
      <c r="H48" s="11">
        <v>9.1666666666666661</v>
      </c>
      <c r="I48" s="11">
        <v>2.916666666666667</v>
      </c>
      <c r="J48" s="14">
        <v>23.166666666666661</v>
      </c>
      <c r="K48" s="11">
        <v>0</v>
      </c>
      <c r="L48" s="11">
        <v>0</v>
      </c>
      <c r="M48" s="11">
        <v>980.13333333333264</v>
      </c>
      <c r="N48" s="14">
        <v>210.13333333333341</v>
      </c>
      <c r="O48" s="14">
        <v>794.49316666666653</v>
      </c>
      <c r="P48" s="11">
        <v>250</v>
      </c>
      <c r="Q48" s="4"/>
    </row>
    <row r="49" spans="1:17" x14ac:dyDescent="0.35">
      <c r="A49" s="16">
        <v>46843</v>
      </c>
      <c r="B49" s="11">
        <v>980.13333333333264</v>
      </c>
      <c r="C49" s="11">
        <v>170.83333333333329</v>
      </c>
      <c r="D49" s="11">
        <v>112.75</v>
      </c>
      <c r="E49" s="11">
        <v>88.333333333333329</v>
      </c>
      <c r="F49" s="14">
        <v>24.416666666666661</v>
      </c>
      <c r="G49" s="11">
        <v>10.83333333333333</v>
      </c>
      <c r="H49" s="11">
        <v>9.1666666666666661</v>
      </c>
      <c r="I49" s="11">
        <v>2.916666666666667</v>
      </c>
      <c r="J49" s="14">
        <v>23.166666666666661</v>
      </c>
      <c r="K49" s="11">
        <v>0</v>
      </c>
      <c r="L49" s="11">
        <v>0</v>
      </c>
      <c r="M49" s="11">
        <v>1003.299999999999</v>
      </c>
      <c r="N49" s="14">
        <v>233.3000000000001</v>
      </c>
      <c r="O49" s="14">
        <v>789.08774999999991</v>
      </c>
      <c r="P49" s="11">
        <v>250</v>
      </c>
      <c r="Q49" s="4"/>
    </row>
    <row r="50" spans="1:17" x14ac:dyDescent="0.35">
      <c r="A50" s="16">
        <v>46873</v>
      </c>
      <c r="B50" s="11">
        <v>1003.299999999999</v>
      </c>
      <c r="C50" s="11">
        <v>170.83333333333329</v>
      </c>
      <c r="D50" s="11">
        <v>112.75</v>
      </c>
      <c r="E50" s="11">
        <v>88.333333333333329</v>
      </c>
      <c r="F50" s="14">
        <v>24.416666666666661</v>
      </c>
      <c r="G50" s="11">
        <v>10.83333333333333</v>
      </c>
      <c r="H50" s="11">
        <v>9.1666666666666661</v>
      </c>
      <c r="I50" s="11">
        <v>2.916666666666667</v>
      </c>
      <c r="J50" s="14">
        <v>23.166666666666661</v>
      </c>
      <c r="K50" s="11">
        <v>0</v>
      </c>
      <c r="L50" s="11">
        <v>0</v>
      </c>
      <c r="M50" s="11">
        <v>1026.466666666666</v>
      </c>
      <c r="N50" s="14">
        <v>256.46666666666681</v>
      </c>
      <c r="O50" s="14">
        <v>783.6823333333333</v>
      </c>
      <c r="P50" s="11">
        <v>250</v>
      </c>
      <c r="Q50" s="4"/>
    </row>
    <row r="51" spans="1:17" x14ac:dyDescent="0.35">
      <c r="A51" s="16">
        <v>46904</v>
      </c>
      <c r="B51" s="11">
        <v>1026.466666666666</v>
      </c>
      <c r="C51" s="11">
        <v>170.83333333333329</v>
      </c>
      <c r="D51" s="11">
        <v>112.75</v>
      </c>
      <c r="E51" s="11">
        <v>88.333333333333329</v>
      </c>
      <c r="F51" s="14">
        <v>24.416666666666661</v>
      </c>
      <c r="G51" s="11">
        <v>10.83333333333333</v>
      </c>
      <c r="H51" s="11">
        <v>9.1666666666666661</v>
      </c>
      <c r="I51" s="11">
        <v>2.916666666666667</v>
      </c>
      <c r="J51" s="14">
        <v>23.166666666666661</v>
      </c>
      <c r="K51" s="11">
        <v>0</v>
      </c>
      <c r="L51" s="11">
        <v>0</v>
      </c>
      <c r="M51" s="11">
        <v>1049.633333333333</v>
      </c>
      <c r="N51" s="14">
        <v>279.63333333333338</v>
      </c>
      <c r="O51" s="14">
        <v>778.27691666666669</v>
      </c>
      <c r="P51" s="11">
        <v>250</v>
      </c>
      <c r="Q51" s="4"/>
    </row>
    <row r="52" spans="1:17" x14ac:dyDescent="0.35">
      <c r="A52" s="16">
        <v>46934</v>
      </c>
      <c r="B52" s="11">
        <v>1049.633333333333</v>
      </c>
      <c r="C52" s="11">
        <v>170.83333333333329</v>
      </c>
      <c r="D52" s="11">
        <v>112.75</v>
      </c>
      <c r="E52" s="11">
        <v>88.333333333333329</v>
      </c>
      <c r="F52" s="14">
        <v>24.416666666666661</v>
      </c>
      <c r="G52" s="11">
        <v>10.83333333333333</v>
      </c>
      <c r="H52" s="11">
        <v>9.1666666666666661</v>
      </c>
      <c r="I52" s="11">
        <v>2.916666666666667</v>
      </c>
      <c r="J52" s="14">
        <v>23.166666666666661</v>
      </c>
      <c r="K52" s="11">
        <v>0</v>
      </c>
      <c r="L52" s="11">
        <v>0</v>
      </c>
      <c r="M52" s="11">
        <v>1072.799999999999</v>
      </c>
      <c r="N52" s="14">
        <v>302.80000000000013</v>
      </c>
      <c r="O52" s="14">
        <v>772.87150000000008</v>
      </c>
      <c r="P52" s="11">
        <v>250</v>
      </c>
      <c r="Q52" s="4"/>
    </row>
    <row r="53" spans="1:17" x14ac:dyDescent="0.35">
      <c r="A53" s="16">
        <v>46965</v>
      </c>
      <c r="B53" s="11">
        <v>1072.799999999999</v>
      </c>
      <c r="C53" s="11">
        <v>170.83333333333329</v>
      </c>
      <c r="D53" s="11">
        <v>112.75</v>
      </c>
      <c r="E53" s="11">
        <v>88.333333333333329</v>
      </c>
      <c r="F53" s="14">
        <v>24.416666666666661</v>
      </c>
      <c r="G53" s="11">
        <v>10.83333333333333</v>
      </c>
      <c r="H53" s="11">
        <v>9.1666666666666661</v>
      </c>
      <c r="I53" s="11">
        <v>2.916666666666667</v>
      </c>
      <c r="J53" s="14">
        <v>23.166666666666661</v>
      </c>
      <c r="K53" s="11">
        <v>0</v>
      </c>
      <c r="L53" s="11">
        <v>0</v>
      </c>
      <c r="M53" s="11">
        <v>1095.966666666666</v>
      </c>
      <c r="N53" s="14">
        <v>325.96666666666681</v>
      </c>
      <c r="O53" s="14">
        <v>767.46608333333347</v>
      </c>
      <c r="P53" s="11">
        <v>250</v>
      </c>
      <c r="Q53" s="4"/>
    </row>
    <row r="54" spans="1:17" x14ac:dyDescent="0.35">
      <c r="A54" s="16">
        <v>46996</v>
      </c>
      <c r="B54" s="11">
        <v>1095.966666666666</v>
      </c>
      <c r="C54" s="11">
        <v>170.83333333333329</v>
      </c>
      <c r="D54" s="11">
        <v>112.75</v>
      </c>
      <c r="E54" s="11">
        <v>88.333333333333329</v>
      </c>
      <c r="F54" s="14">
        <v>24.416666666666661</v>
      </c>
      <c r="G54" s="11">
        <v>10.83333333333333</v>
      </c>
      <c r="H54" s="11">
        <v>9.1666666666666661</v>
      </c>
      <c r="I54" s="11">
        <v>2.916666666666667</v>
      </c>
      <c r="J54" s="14">
        <v>23.166666666666661</v>
      </c>
      <c r="K54" s="11">
        <v>0</v>
      </c>
      <c r="L54" s="11">
        <v>0</v>
      </c>
      <c r="M54" s="11">
        <v>1119.133333333333</v>
      </c>
      <c r="N54" s="14">
        <v>349.1333333333335</v>
      </c>
      <c r="O54" s="14">
        <v>762.06066666666686</v>
      </c>
      <c r="P54" s="11">
        <v>250</v>
      </c>
      <c r="Q54" s="4"/>
    </row>
    <row r="55" spans="1:17" x14ac:dyDescent="0.35">
      <c r="A55" s="16">
        <v>47026</v>
      </c>
      <c r="B55" s="11">
        <v>1119.133333333333</v>
      </c>
      <c r="C55" s="11">
        <v>170.83333333333329</v>
      </c>
      <c r="D55" s="11">
        <v>112.75</v>
      </c>
      <c r="E55" s="11">
        <v>88.333333333333329</v>
      </c>
      <c r="F55" s="14">
        <v>24.416666666666661</v>
      </c>
      <c r="G55" s="11">
        <v>10.83333333333333</v>
      </c>
      <c r="H55" s="11">
        <v>9.1666666666666661</v>
      </c>
      <c r="I55" s="11">
        <v>2.916666666666667</v>
      </c>
      <c r="J55" s="14">
        <v>23.166666666666661</v>
      </c>
      <c r="K55" s="11">
        <v>0</v>
      </c>
      <c r="L55" s="11">
        <v>0</v>
      </c>
      <c r="M55" s="11">
        <v>1142.3</v>
      </c>
      <c r="N55" s="14">
        <v>372.30000000000018</v>
      </c>
      <c r="O55" s="14">
        <v>756.65525000000025</v>
      </c>
      <c r="P55" s="11">
        <v>250</v>
      </c>
      <c r="Q55" s="4"/>
    </row>
    <row r="56" spans="1:17" x14ac:dyDescent="0.35">
      <c r="A56" s="16">
        <v>47057</v>
      </c>
      <c r="B56" s="11">
        <v>1142.3</v>
      </c>
      <c r="C56" s="11">
        <v>170.83333333333329</v>
      </c>
      <c r="D56" s="11">
        <v>112.75</v>
      </c>
      <c r="E56" s="11">
        <v>88.333333333333329</v>
      </c>
      <c r="F56" s="14">
        <v>24.416666666666661</v>
      </c>
      <c r="G56" s="11">
        <v>10.83333333333333</v>
      </c>
      <c r="H56" s="11">
        <v>9.1666666666666661</v>
      </c>
      <c r="I56" s="11">
        <v>2.916666666666667</v>
      </c>
      <c r="J56" s="14">
        <v>23.166666666666661</v>
      </c>
      <c r="K56" s="11">
        <v>0</v>
      </c>
      <c r="L56" s="11">
        <v>0</v>
      </c>
      <c r="M56" s="11">
        <v>1165.466666666666</v>
      </c>
      <c r="N56" s="14">
        <v>395.46666666666692</v>
      </c>
      <c r="O56" s="14">
        <v>751.24983333333364</v>
      </c>
      <c r="P56" s="11">
        <v>250</v>
      </c>
      <c r="Q56" s="4"/>
    </row>
    <row r="57" spans="1:17" x14ac:dyDescent="0.35">
      <c r="A57" s="16">
        <v>47087</v>
      </c>
      <c r="B57" s="11">
        <v>1165.466666666666</v>
      </c>
      <c r="C57" s="11">
        <v>170.83333333333329</v>
      </c>
      <c r="D57" s="11">
        <v>112.75</v>
      </c>
      <c r="E57" s="11">
        <v>88.333333333333329</v>
      </c>
      <c r="F57" s="14">
        <v>24.416666666666661</v>
      </c>
      <c r="G57" s="11">
        <v>10.83333333333333</v>
      </c>
      <c r="H57" s="11">
        <v>9.1666666666666661</v>
      </c>
      <c r="I57" s="11">
        <v>2.916666666666667</v>
      </c>
      <c r="J57" s="14">
        <v>23.166666666666661</v>
      </c>
      <c r="K57" s="11">
        <v>0</v>
      </c>
      <c r="L57" s="11">
        <v>0</v>
      </c>
      <c r="M57" s="11">
        <v>1188.633333333333</v>
      </c>
      <c r="N57" s="14">
        <v>418.63333333333361</v>
      </c>
      <c r="O57" s="14">
        <v>745.84441666666703</v>
      </c>
      <c r="P57" s="11">
        <v>250</v>
      </c>
      <c r="Q57" s="4"/>
    </row>
    <row r="58" spans="1:17" x14ac:dyDescent="0.35">
      <c r="A58" s="16">
        <v>47118</v>
      </c>
      <c r="B58" s="11">
        <v>1188.633333333333</v>
      </c>
      <c r="C58" s="11">
        <v>170.83333333333329</v>
      </c>
      <c r="D58" s="11">
        <v>112.75</v>
      </c>
      <c r="E58" s="11">
        <v>88.333333333333329</v>
      </c>
      <c r="F58" s="14">
        <v>24.416666666666661</v>
      </c>
      <c r="G58" s="11">
        <v>10.83333333333333</v>
      </c>
      <c r="H58" s="11">
        <v>9.1666666666666661</v>
      </c>
      <c r="I58" s="11">
        <v>2.916666666666667</v>
      </c>
      <c r="J58" s="14">
        <v>23.166666666666661</v>
      </c>
      <c r="K58" s="11">
        <v>0</v>
      </c>
      <c r="L58" s="11">
        <v>0</v>
      </c>
      <c r="M58" s="11">
        <v>1211.8</v>
      </c>
      <c r="N58" s="14">
        <v>441.80000000000018</v>
      </c>
      <c r="O58" s="14">
        <v>740.43900000000042</v>
      </c>
      <c r="P58" s="11">
        <v>250</v>
      </c>
      <c r="Q58" s="4"/>
    </row>
    <row r="59" spans="1:17" x14ac:dyDescent="0.35">
      <c r="A59" s="16">
        <v>47149</v>
      </c>
      <c r="B59" s="11">
        <v>1211.8</v>
      </c>
      <c r="C59" s="11">
        <v>250</v>
      </c>
      <c r="D59" s="11">
        <v>177.5</v>
      </c>
      <c r="E59" s="11">
        <v>122.5</v>
      </c>
      <c r="F59" s="14">
        <v>55</v>
      </c>
      <c r="G59" s="11">
        <v>14.16666666666667</v>
      </c>
      <c r="H59" s="11">
        <v>11.25</v>
      </c>
      <c r="I59" s="11">
        <v>3.333333333333333</v>
      </c>
      <c r="J59" s="14">
        <v>54.583333333333343</v>
      </c>
      <c r="K59" s="11">
        <v>0</v>
      </c>
      <c r="L59" s="11">
        <v>0</v>
      </c>
      <c r="M59" s="11">
        <v>1266.383333333333</v>
      </c>
      <c r="N59" s="14">
        <v>496.38333333333361</v>
      </c>
      <c r="O59" s="14">
        <v>742.9973333333337</v>
      </c>
      <c r="P59" s="11">
        <v>250</v>
      </c>
      <c r="Q59" s="4"/>
    </row>
    <row r="60" spans="1:17" x14ac:dyDescent="0.35">
      <c r="A60" s="16">
        <v>47177</v>
      </c>
      <c r="B60" s="11">
        <v>1266.383333333333</v>
      </c>
      <c r="C60" s="11">
        <v>250</v>
      </c>
      <c r="D60" s="11">
        <v>177.5</v>
      </c>
      <c r="E60" s="11">
        <v>122.5</v>
      </c>
      <c r="F60" s="14">
        <v>55</v>
      </c>
      <c r="G60" s="11">
        <v>14.16666666666667</v>
      </c>
      <c r="H60" s="11">
        <v>11.25</v>
      </c>
      <c r="I60" s="11">
        <v>3.333333333333333</v>
      </c>
      <c r="J60" s="14">
        <v>54.583333333333343</v>
      </c>
      <c r="K60" s="11">
        <v>0</v>
      </c>
      <c r="L60" s="11">
        <v>0</v>
      </c>
      <c r="M60" s="11">
        <v>1320.966666666666</v>
      </c>
      <c r="N60" s="14">
        <v>550.96666666666692</v>
      </c>
      <c r="O60" s="14">
        <v>745.55566666666698</v>
      </c>
      <c r="P60" s="11">
        <v>250</v>
      </c>
      <c r="Q60" s="4"/>
    </row>
    <row r="61" spans="1:17" x14ac:dyDescent="0.35">
      <c r="A61" s="16">
        <v>47208</v>
      </c>
      <c r="B61" s="11">
        <v>1320.966666666666</v>
      </c>
      <c r="C61" s="11">
        <v>250</v>
      </c>
      <c r="D61" s="11">
        <v>177.5</v>
      </c>
      <c r="E61" s="11">
        <v>122.5</v>
      </c>
      <c r="F61" s="14">
        <v>55</v>
      </c>
      <c r="G61" s="11">
        <v>14.16666666666667</v>
      </c>
      <c r="H61" s="11">
        <v>11.25</v>
      </c>
      <c r="I61" s="11">
        <v>3.333333333333333</v>
      </c>
      <c r="J61" s="14">
        <v>54.583333333333343</v>
      </c>
      <c r="K61" s="11">
        <v>0</v>
      </c>
      <c r="L61" s="11">
        <v>0</v>
      </c>
      <c r="M61" s="11">
        <v>1375.55</v>
      </c>
      <c r="N61" s="14">
        <v>605.5500000000003</v>
      </c>
      <c r="O61" s="14">
        <v>748.11400000000026</v>
      </c>
      <c r="P61" s="11">
        <v>250</v>
      </c>
      <c r="Q61" s="4"/>
    </row>
    <row r="62" spans="1:17" x14ac:dyDescent="0.35">
      <c r="A62" s="16">
        <v>47238</v>
      </c>
      <c r="B62" s="11">
        <v>1375.55</v>
      </c>
      <c r="C62" s="11">
        <v>250</v>
      </c>
      <c r="D62" s="11">
        <v>177.5</v>
      </c>
      <c r="E62" s="11">
        <v>122.5</v>
      </c>
      <c r="F62" s="14">
        <v>55</v>
      </c>
      <c r="G62" s="11">
        <v>14.16666666666667</v>
      </c>
      <c r="H62" s="11">
        <v>11.25</v>
      </c>
      <c r="I62" s="11">
        <v>3.333333333333333</v>
      </c>
      <c r="J62" s="14">
        <v>54.583333333333343</v>
      </c>
      <c r="K62" s="11">
        <v>0</v>
      </c>
      <c r="L62" s="11">
        <v>0</v>
      </c>
      <c r="M62" s="11">
        <v>1430.133333333333</v>
      </c>
      <c r="N62" s="14">
        <v>660.13333333333367</v>
      </c>
      <c r="O62" s="14">
        <v>750.67233333333354</v>
      </c>
      <c r="P62" s="11">
        <v>250</v>
      </c>
      <c r="Q62" s="4"/>
    </row>
    <row r="63" spans="1:17" x14ac:dyDescent="0.35">
      <c r="A63" s="16">
        <v>47269</v>
      </c>
      <c r="B63" s="11">
        <v>1430.133333333333</v>
      </c>
      <c r="C63" s="11">
        <v>250</v>
      </c>
      <c r="D63" s="11">
        <v>177.5</v>
      </c>
      <c r="E63" s="11">
        <v>122.5</v>
      </c>
      <c r="F63" s="14">
        <v>55</v>
      </c>
      <c r="G63" s="11">
        <v>14.16666666666667</v>
      </c>
      <c r="H63" s="11">
        <v>11.25</v>
      </c>
      <c r="I63" s="11">
        <v>3.333333333333333</v>
      </c>
      <c r="J63" s="14">
        <v>54.583333333333343</v>
      </c>
      <c r="K63" s="11">
        <v>0</v>
      </c>
      <c r="L63" s="11">
        <v>0</v>
      </c>
      <c r="M63" s="11">
        <v>1484.716666666666</v>
      </c>
      <c r="N63" s="14">
        <v>714.71666666666704</v>
      </c>
      <c r="O63" s="14">
        <v>753.23066666666682</v>
      </c>
      <c r="P63" s="11">
        <v>250</v>
      </c>
      <c r="Q63" s="4"/>
    </row>
    <row r="64" spans="1:17" x14ac:dyDescent="0.35">
      <c r="A64" s="16">
        <v>47299</v>
      </c>
      <c r="B64" s="11">
        <v>1484.716666666666</v>
      </c>
      <c r="C64" s="11">
        <v>250</v>
      </c>
      <c r="D64" s="11">
        <v>177.5</v>
      </c>
      <c r="E64" s="11">
        <v>122.5</v>
      </c>
      <c r="F64" s="14">
        <v>55</v>
      </c>
      <c r="G64" s="11">
        <v>14.16666666666667</v>
      </c>
      <c r="H64" s="11">
        <v>11.25</v>
      </c>
      <c r="I64" s="11">
        <v>3.333333333333333</v>
      </c>
      <c r="J64" s="14">
        <v>54.583333333333343</v>
      </c>
      <c r="K64" s="11">
        <v>0</v>
      </c>
      <c r="L64" s="11">
        <v>0</v>
      </c>
      <c r="M64" s="11">
        <v>1539.299999999999</v>
      </c>
      <c r="N64" s="14">
        <v>769.30000000000041</v>
      </c>
      <c r="O64" s="14">
        <v>755.7890000000001</v>
      </c>
      <c r="P64" s="11">
        <v>250</v>
      </c>
      <c r="Q64" s="4"/>
    </row>
    <row r="65" spans="1:17" x14ac:dyDescent="0.35">
      <c r="A65" s="16">
        <v>47330</v>
      </c>
      <c r="B65" s="11">
        <v>1539.299999999999</v>
      </c>
      <c r="C65" s="11">
        <v>250</v>
      </c>
      <c r="D65" s="11">
        <v>177.5</v>
      </c>
      <c r="E65" s="11">
        <v>122.5</v>
      </c>
      <c r="F65" s="14">
        <v>55</v>
      </c>
      <c r="G65" s="11">
        <v>14.16666666666667</v>
      </c>
      <c r="H65" s="11">
        <v>11.25</v>
      </c>
      <c r="I65" s="11">
        <v>3.333333333333333</v>
      </c>
      <c r="J65" s="14">
        <v>54.583333333333343</v>
      </c>
      <c r="K65" s="11">
        <v>0</v>
      </c>
      <c r="L65" s="11">
        <v>0</v>
      </c>
      <c r="M65" s="11">
        <v>1593.883333333333</v>
      </c>
      <c r="N65" s="14">
        <v>823.88333333333378</v>
      </c>
      <c r="O65" s="14">
        <v>758.34733333333338</v>
      </c>
      <c r="P65" s="11">
        <v>250</v>
      </c>
      <c r="Q65" s="4"/>
    </row>
    <row r="66" spans="1:17" x14ac:dyDescent="0.35">
      <c r="A66" s="16">
        <v>47361</v>
      </c>
      <c r="B66" s="11">
        <v>1593.883333333333</v>
      </c>
      <c r="C66" s="11">
        <v>250</v>
      </c>
      <c r="D66" s="11">
        <v>177.5</v>
      </c>
      <c r="E66" s="11">
        <v>122.5</v>
      </c>
      <c r="F66" s="14">
        <v>55</v>
      </c>
      <c r="G66" s="11">
        <v>14.16666666666667</v>
      </c>
      <c r="H66" s="11">
        <v>11.25</v>
      </c>
      <c r="I66" s="11">
        <v>3.333333333333333</v>
      </c>
      <c r="J66" s="14">
        <v>54.583333333333343</v>
      </c>
      <c r="K66" s="11">
        <v>0</v>
      </c>
      <c r="L66" s="11">
        <v>0</v>
      </c>
      <c r="M66" s="11">
        <v>1648.466666666666</v>
      </c>
      <c r="N66" s="14">
        <v>878.46666666666715</v>
      </c>
      <c r="O66" s="14">
        <v>760.90566666666666</v>
      </c>
      <c r="P66" s="11">
        <v>250</v>
      </c>
      <c r="Q66" s="4"/>
    </row>
    <row r="67" spans="1:17" x14ac:dyDescent="0.35">
      <c r="A67" s="16">
        <v>47391</v>
      </c>
      <c r="B67" s="11">
        <v>1648.466666666666</v>
      </c>
      <c r="C67" s="11">
        <v>250</v>
      </c>
      <c r="D67" s="11">
        <v>177.5</v>
      </c>
      <c r="E67" s="11">
        <v>122.5</v>
      </c>
      <c r="F67" s="14">
        <v>55</v>
      </c>
      <c r="G67" s="11">
        <v>14.16666666666667</v>
      </c>
      <c r="H67" s="11">
        <v>11.25</v>
      </c>
      <c r="I67" s="11">
        <v>3.333333333333333</v>
      </c>
      <c r="J67" s="14">
        <v>54.583333333333343</v>
      </c>
      <c r="K67" s="11">
        <v>0</v>
      </c>
      <c r="L67" s="11">
        <v>0</v>
      </c>
      <c r="M67" s="11">
        <v>1703.049999999999</v>
      </c>
      <c r="N67" s="14">
        <v>933.05000000000052</v>
      </c>
      <c r="O67" s="14">
        <v>763.46399999999994</v>
      </c>
      <c r="P67" s="11">
        <v>250</v>
      </c>
      <c r="Q67" s="4"/>
    </row>
    <row r="68" spans="1:17" x14ac:dyDescent="0.35">
      <c r="A68" s="16">
        <v>47422</v>
      </c>
      <c r="B68" s="11">
        <v>1703.049999999999</v>
      </c>
      <c r="C68" s="11">
        <v>250</v>
      </c>
      <c r="D68" s="11">
        <v>177.5</v>
      </c>
      <c r="E68" s="11">
        <v>122.5</v>
      </c>
      <c r="F68" s="14">
        <v>55</v>
      </c>
      <c r="G68" s="11">
        <v>14.16666666666667</v>
      </c>
      <c r="H68" s="11">
        <v>11.25</v>
      </c>
      <c r="I68" s="11">
        <v>3.333333333333333</v>
      </c>
      <c r="J68" s="14">
        <v>54.583333333333343</v>
      </c>
      <c r="K68" s="11">
        <v>0</v>
      </c>
      <c r="L68" s="11">
        <v>0</v>
      </c>
      <c r="M68" s="11">
        <v>1757.633333333333</v>
      </c>
      <c r="N68" s="14">
        <v>987.63333333333389</v>
      </c>
      <c r="O68" s="14">
        <v>766.02233333333322</v>
      </c>
      <c r="P68" s="11">
        <v>250</v>
      </c>
      <c r="Q68" s="4"/>
    </row>
    <row r="69" spans="1:17" x14ac:dyDescent="0.35">
      <c r="A69" s="16">
        <v>47452</v>
      </c>
      <c r="B69" s="11">
        <v>1757.633333333333</v>
      </c>
      <c r="C69" s="11">
        <v>250</v>
      </c>
      <c r="D69" s="11">
        <v>177.5</v>
      </c>
      <c r="E69" s="11">
        <v>122.5</v>
      </c>
      <c r="F69" s="14">
        <v>55</v>
      </c>
      <c r="G69" s="11">
        <v>14.16666666666667</v>
      </c>
      <c r="H69" s="11">
        <v>11.25</v>
      </c>
      <c r="I69" s="11">
        <v>3.333333333333333</v>
      </c>
      <c r="J69" s="14">
        <v>54.583333333333343</v>
      </c>
      <c r="K69" s="11">
        <v>0</v>
      </c>
      <c r="L69" s="11">
        <v>0</v>
      </c>
      <c r="M69" s="11">
        <v>1812.216666666666</v>
      </c>
      <c r="N69" s="14">
        <v>1042.2166666666669</v>
      </c>
      <c r="O69" s="14">
        <v>768.5806666666665</v>
      </c>
      <c r="P69" s="11">
        <v>250</v>
      </c>
      <c r="Q69" s="4"/>
    </row>
    <row r="70" spans="1:17" x14ac:dyDescent="0.35">
      <c r="A70" s="16">
        <v>47483</v>
      </c>
      <c r="B70" s="11">
        <v>1812.216666666666</v>
      </c>
      <c r="C70" s="11">
        <v>250</v>
      </c>
      <c r="D70" s="11">
        <v>177.5</v>
      </c>
      <c r="E70" s="11">
        <v>122.5</v>
      </c>
      <c r="F70" s="14">
        <v>55</v>
      </c>
      <c r="G70" s="11">
        <v>14.16666666666667</v>
      </c>
      <c r="H70" s="11">
        <v>11.25</v>
      </c>
      <c r="I70" s="11">
        <v>3.333333333333333</v>
      </c>
      <c r="J70" s="14">
        <v>54.583333333333343</v>
      </c>
      <c r="K70" s="11">
        <v>0</v>
      </c>
      <c r="L70" s="11">
        <v>0</v>
      </c>
      <c r="M70" s="11">
        <v>1866.799999999999</v>
      </c>
      <c r="N70" s="14">
        <v>1096.8</v>
      </c>
      <c r="O70" s="14">
        <v>771.13899999999978</v>
      </c>
      <c r="P70" s="11">
        <v>250</v>
      </c>
      <c r="Q70" s="4"/>
    </row>
    <row r="71" spans="1:17" x14ac:dyDescent="0.35">
      <c r="A71" s="16">
        <v>47514</v>
      </c>
      <c r="B71" s="11">
        <v>1866.799999999999</v>
      </c>
      <c r="C71" s="11">
        <v>341.66666666666657</v>
      </c>
      <c r="D71" s="11">
        <v>252.83333333333329</v>
      </c>
      <c r="E71" s="11">
        <v>160.83333333333329</v>
      </c>
      <c r="F71" s="14">
        <v>91.999999999999972</v>
      </c>
      <c r="G71" s="11">
        <v>18.333333333333329</v>
      </c>
      <c r="H71" s="11">
        <v>13.33333333333333</v>
      </c>
      <c r="I71" s="11">
        <v>4.1666666666666661</v>
      </c>
      <c r="J71" s="14">
        <v>92.8333333333333</v>
      </c>
      <c r="K71" s="11">
        <v>0</v>
      </c>
      <c r="L71" s="11">
        <v>0</v>
      </c>
      <c r="M71" s="11">
        <v>1959.6333333333321</v>
      </c>
      <c r="N71" s="14">
        <v>1189.6333333333339</v>
      </c>
      <c r="O71" s="14">
        <v>785.70233333333317</v>
      </c>
      <c r="P71" s="11">
        <v>250</v>
      </c>
      <c r="Q71" s="4"/>
    </row>
    <row r="72" spans="1:17" x14ac:dyDescent="0.35">
      <c r="A72" s="16">
        <v>47542</v>
      </c>
      <c r="B72" s="11">
        <v>1959.6333333333321</v>
      </c>
      <c r="C72" s="11">
        <v>341.66666666666657</v>
      </c>
      <c r="D72" s="11">
        <v>252.83333333333329</v>
      </c>
      <c r="E72" s="11">
        <v>160.83333333333329</v>
      </c>
      <c r="F72" s="14">
        <v>91.999999999999972</v>
      </c>
      <c r="G72" s="11">
        <v>18.333333333333329</v>
      </c>
      <c r="H72" s="11">
        <v>13.33333333333333</v>
      </c>
      <c r="I72" s="11">
        <v>4.1666666666666661</v>
      </c>
      <c r="J72" s="14">
        <v>92.8333333333333</v>
      </c>
      <c r="K72" s="11">
        <v>0</v>
      </c>
      <c r="L72" s="11">
        <v>0</v>
      </c>
      <c r="M72" s="11">
        <v>2052.4666666666658</v>
      </c>
      <c r="N72" s="14">
        <v>1282.4666666666669</v>
      </c>
      <c r="O72" s="14">
        <v>800.26566666666656</v>
      </c>
      <c r="P72" s="11">
        <v>250</v>
      </c>
      <c r="Q72" s="4"/>
    </row>
    <row r="73" spans="1:17" x14ac:dyDescent="0.35">
      <c r="A73" s="16">
        <v>47573</v>
      </c>
      <c r="B73" s="11">
        <v>2052.4666666666658</v>
      </c>
      <c r="C73" s="11">
        <v>341.66666666666657</v>
      </c>
      <c r="D73" s="11">
        <v>252.83333333333329</v>
      </c>
      <c r="E73" s="11">
        <v>160.83333333333329</v>
      </c>
      <c r="F73" s="14">
        <v>91.999999999999972</v>
      </c>
      <c r="G73" s="11">
        <v>18.333333333333329</v>
      </c>
      <c r="H73" s="11">
        <v>13.33333333333333</v>
      </c>
      <c r="I73" s="11">
        <v>4.1666666666666661</v>
      </c>
      <c r="J73" s="14">
        <v>92.8333333333333</v>
      </c>
      <c r="K73" s="11">
        <v>0</v>
      </c>
      <c r="L73" s="11">
        <v>0</v>
      </c>
      <c r="M73" s="11">
        <v>2145.2999999999988</v>
      </c>
      <c r="N73" s="14">
        <v>1375.3</v>
      </c>
      <c r="O73" s="14">
        <v>814.82899999999995</v>
      </c>
      <c r="P73" s="11">
        <v>250</v>
      </c>
      <c r="Q73" s="4"/>
    </row>
    <row r="74" spans="1:17" x14ac:dyDescent="0.35">
      <c r="A74" s="16">
        <v>47603</v>
      </c>
      <c r="B74" s="11">
        <v>2145.2999999999988</v>
      </c>
      <c r="C74" s="11">
        <v>341.66666666666657</v>
      </c>
      <c r="D74" s="11">
        <v>252.83333333333329</v>
      </c>
      <c r="E74" s="11">
        <v>160.83333333333329</v>
      </c>
      <c r="F74" s="14">
        <v>91.999999999999972</v>
      </c>
      <c r="G74" s="11">
        <v>18.333333333333329</v>
      </c>
      <c r="H74" s="11">
        <v>13.33333333333333</v>
      </c>
      <c r="I74" s="11">
        <v>4.1666666666666661</v>
      </c>
      <c r="J74" s="14">
        <v>92.8333333333333</v>
      </c>
      <c r="K74" s="11">
        <v>0</v>
      </c>
      <c r="L74" s="11">
        <v>0</v>
      </c>
      <c r="M74" s="11">
        <v>2238.1333333333332</v>
      </c>
      <c r="N74" s="14">
        <v>1468.133333333333</v>
      </c>
      <c r="O74" s="14">
        <v>829.39233333333334</v>
      </c>
      <c r="P74" s="11">
        <v>250</v>
      </c>
      <c r="Q74" s="4"/>
    </row>
    <row r="75" spans="1:17" x14ac:dyDescent="0.35">
      <c r="A75" s="16">
        <v>47634</v>
      </c>
      <c r="B75" s="11">
        <v>2238.1333333333332</v>
      </c>
      <c r="C75" s="11">
        <v>341.66666666666657</v>
      </c>
      <c r="D75" s="11">
        <v>252.83333333333329</v>
      </c>
      <c r="E75" s="11">
        <v>160.83333333333329</v>
      </c>
      <c r="F75" s="14">
        <v>91.999999999999972</v>
      </c>
      <c r="G75" s="11">
        <v>18.333333333333329</v>
      </c>
      <c r="H75" s="11">
        <v>13.33333333333333</v>
      </c>
      <c r="I75" s="11">
        <v>4.1666666666666661</v>
      </c>
      <c r="J75" s="14">
        <v>92.8333333333333</v>
      </c>
      <c r="K75" s="11">
        <v>0</v>
      </c>
      <c r="L75" s="11">
        <v>0</v>
      </c>
      <c r="M75" s="11">
        <v>2330.9666666666658</v>
      </c>
      <c r="N75" s="14">
        <v>1560.9666666666669</v>
      </c>
      <c r="O75" s="14">
        <v>843.95566666666673</v>
      </c>
      <c r="P75" s="11">
        <v>250</v>
      </c>
      <c r="Q75" s="4"/>
    </row>
    <row r="76" spans="1:17" x14ac:dyDescent="0.35">
      <c r="A76" s="16">
        <v>47664</v>
      </c>
      <c r="B76" s="11">
        <v>2330.9666666666658</v>
      </c>
      <c r="C76" s="11">
        <v>341.66666666666657</v>
      </c>
      <c r="D76" s="11">
        <v>252.83333333333329</v>
      </c>
      <c r="E76" s="11">
        <v>160.83333333333329</v>
      </c>
      <c r="F76" s="14">
        <v>91.999999999999972</v>
      </c>
      <c r="G76" s="11">
        <v>18.333333333333329</v>
      </c>
      <c r="H76" s="11">
        <v>13.33333333333333</v>
      </c>
      <c r="I76" s="11">
        <v>4.1666666666666661</v>
      </c>
      <c r="J76" s="14">
        <v>92.8333333333333</v>
      </c>
      <c r="K76" s="11">
        <v>0</v>
      </c>
      <c r="L76" s="11">
        <v>0</v>
      </c>
      <c r="M76" s="11">
        <v>2423.8000000000002</v>
      </c>
      <c r="N76" s="14">
        <v>1653.8</v>
      </c>
      <c r="O76" s="14">
        <v>858.51900000000012</v>
      </c>
      <c r="P76" s="11">
        <v>250</v>
      </c>
      <c r="Q76" s="4"/>
    </row>
    <row r="77" spans="1:17" x14ac:dyDescent="0.35">
      <c r="A77" s="16">
        <v>47695</v>
      </c>
      <c r="B77" s="11">
        <v>2423.8000000000002</v>
      </c>
      <c r="C77" s="11">
        <v>341.66666666666657</v>
      </c>
      <c r="D77" s="11">
        <v>252.83333333333329</v>
      </c>
      <c r="E77" s="11">
        <v>160.83333333333329</v>
      </c>
      <c r="F77" s="14">
        <v>91.999999999999972</v>
      </c>
      <c r="G77" s="11">
        <v>18.333333333333329</v>
      </c>
      <c r="H77" s="11">
        <v>13.33333333333333</v>
      </c>
      <c r="I77" s="11">
        <v>4.1666666666666661</v>
      </c>
      <c r="J77" s="14">
        <v>92.8333333333333</v>
      </c>
      <c r="K77" s="11">
        <v>0</v>
      </c>
      <c r="L77" s="11">
        <v>0</v>
      </c>
      <c r="M77" s="11">
        <v>2516.6333333333332</v>
      </c>
      <c r="N77" s="14">
        <v>1746.633333333333</v>
      </c>
      <c r="O77" s="14">
        <v>873.08233333333351</v>
      </c>
      <c r="P77" s="11">
        <v>250</v>
      </c>
      <c r="Q77" s="4"/>
    </row>
    <row r="78" spans="1:17" x14ac:dyDescent="0.35">
      <c r="A78" s="16">
        <v>47726</v>
      </c>
      <c r="B78" s="11">
        <v>2516.6333333333332</v>
      </c>
      <c r="C78" s="11">
        <v>341.66666666666657</v>
      </c>
      <c r="D78" s="11">
        <v>252.83333333333329</v>
      </c>
      <c r="E78" s="11">
        <v>160.83333333333329</v>
      </c>
      <c r="F78" s="14">
        <v>91.999999999999972</v>
      </c>
      <c r="G78" s="11">
        <v>18.333333333333329</v>
      </c>
      <c r="H78" s="11">
        <v>13.33333333333333</v>
      </c>
      <c r="I78" s="11">
        <v>4.1666666666666661</v>
      </c>
      <c r="J78" s="14">
        <v>92.8333333333333</v>
      </c>
      <c r="K78" s="11">
        <v>0</v>
      </c>
      <c r="L78" s="11">
        <v>0</v>
      </c>
      <c r="M78" s="11">
        <v>2609.4666666666672</v>
      </c>
      <c r="N78" s="14">
        <v>1839.466666666666</v>
      </c>
      <c r="O78" s="14">
        <v>887.6456666666669</v>
      </c>
      <c r="P78" s="11">
        <v>250</v>
      </c>
      <c r="Q78" s="4"/>
    </row>
    <row r="79" spans="1:17" x14ac:dyDescent="0.35">
      <c r="A79" s="16">
        <v>47756</v>
      </c>
      <c r="B79" s="11">
        <v>2609.4666666666672</v>
      </c>
      <c r="C79" s="11">
        <v>341.66666666666657</v>
      </c>
      <c r="D79" s="11">
        <v>252.83333333333329</v>
      </c>
      <c r="E79" s="11">
        <v>160.83333333333329</v>
      </c>
      <c r="F79" s="14">
        <v>91.999999999999972</v>
      </c>
      <c r="G79" s="11">
        <v>18.333333333333329</v>
      </c>
      <c r="H79" s="11">
        <v>13.33333333333333</v>
      </c>
      <c r="I79" s="11">
        <v>4.1666666666666661</v>
      </c>
      <c r="J79" s="14">
        <v>92.8333333333333</v>
      </c>
      <c r="K79" s="11">
        <v>0</v>
      </c>
      <c r="L79" s="11">
        <v>0</v>
      </c>
      <c r="M79" s="11">
        <v>2702.3</v>
      </c>
      <c r="N79" s="14">
        <v>1932.3</v>
      </c>
      <c r="O79" s="14">
        <v>902.20900000000029</v>
      </c>
      <c r="P79" s="11">
        <v>250</v>
      </c>
      <c r="Q79" s="4" t="s">
        <v>560</v>
      </c>
    </row>
    <row r="80" spans="1:17" x14ac:dyDescent="0.35">
      <c r="A80" s="16">
        <v>47787</v>
      </c>
      <c r="B80" s="11">
        <v>2702.3</v>
      </c>
      <c r="C80" s="11">
        <v>341.66666666666657</v>
      </c>
      <c r="D80" s="11">
        <v>252.83333333333329</v>
      </c>
      <c r="E80" s="11">
        <v>160.83333333333329</v>
      </c>
      <c r="F80" s="14">
        <v>91.999999999999972</v>
      </c>
      <c r="G80" s="11">
        <v>18.333333333333329</v>
      </c>
      <c r="H80" s="11">
        <v>13.33333333333333</v>
      </c>
      <c r="I80" s="11">
        <v>4.1666666666666661</v>
      </c>
      <c r="J80" s="14">
        <v>92.8333333333333</v>
      </c>
      <c r="K80" s="11">
        <v>0</v>
      </c>
      <c r="L80" s="11">
        <v>0</v>
      </c>
      <c r="M80" s="11">
        <v>2795.1333333333341</v>
      </c>
      <c r="N80" s="14">
        <v>2025.133333333333</v>
      </c>
      <c r="O80" s="14">
        <v>916.77233333333368</v>
      </c>
      <c r="P80" s="11">
        <v>250</v>
      </c>
      <c r="Q80" s="4"/>
    </row>
    <row r="81" spans="1:17" x14ac:dyDescent="0.35">
      <c r="A81" s="16">
        <v>47817</v>
      </c>
      <c r="B81" s="11">
        <v>2795.1333333333341</v>
      </c>
      <c r="C81" s="11">
        <v>341.66666666666657</v>
      </c>
      <c r="D81" s="11">
        <v>252.83333333333329</v>
      </c>
      <c r="E81" s="11">
        <v>160.83333333333329</v>
      </c>
      <c r="F81" s="14">
        <v>91.999999999999972</v>
      </c>
      <c r="G81" s="11">
        <v>18.333333333333329</v>
      </c>
      <c r="H81" s="11">
        <v>13.33333333333333</v>
      </c>
      <c r="I81" s="11">
        <v>4.1666666666666661</v>
      </c>
      <c r="J81" s="14">
        <v>92.8333333333333</v>
      </c>
      <c r="K81" s="11">
        <v>0</v>
      </c>
      <c r="L81" s="11">
        <v>0</v>
      </c>
      <c r="M81" s="11">
        <v>2887.9666666666672</v>
      </c>
      <c r="N81" s="14">
        <v>2117.9666666666658</v>
      </c>
      <c r="O81" s="14">
        <v>931.33566666666707</v>
      </c>
      <c r="P81" s="11">
        <v>250</v>
      </c>
      <c r="Q81" s="4"/>
    </row>
    <row r="82" spans="1:17" x14ac:dyDescent="0.35">
      <c r="A82" s="16">
        <v>47848</v>
      </c>
      <c r="B82" s="11">
        <v>2887.9666666666672</v>
      </c>
      <c r="C82" s="11">
        <v>341.66666666666657</v>
      </c>
      <c r="D82" s="11">
        <v>252.83333333333329</v>
      </c>
      <c r="E82" s="11">
        <v>160.83333333333329</v>
      </c>
      <c r="F82" s="14">
        <v>91.999999999999972</v>
      </c>
      <c r="G82" s="11">
        <v>18.333333333333329</v>
      </c>
      <c r="H82" s="11">
        <v>13.33333333333333</v>
      </c>
      <c r="I82" s="11">
        <v>4.1666666666666661</v>
      </c>
      <c r="J82" s="14">
        <v>92.8333333333333</v>
      </c>
      <c r="K82" s="11">
        <v>0</v>
      </c>
      <c r="L82" s="11">
        <v>0</v>
      </c>
      <c r="M82" s="11">
        <v>2980.8000000000011</v>
      </c>
      <c r="N82" s="14">
        <v>2210.8000000000002</v>
      </c>
      <c r="O82" s="14">
        <v>945.89900000000046</v>
      </c>
      <c r="P82" s="11">
        <v>250</v>
      </c>
      <c r="Q82" s="4"/>
    </row>
    <row r="83" spans="1:17" x14ac:dyDescent="0.35">
      <c r="A83" s="16">
        <v>47879</v>
      </c>
      <c r="B83" s="11">
        <v>2980.8000000000011</v>
      </c>
      <c r="C83" s="11">
        <v>437.5</v>
      </c>
      <c r="D83" s="11">
        <v>332.5</v>
      </c>
      <c r="E83" s="11">
        <v>197.5</v>
      </c>
      <c r="F83" s="14">
        <v>135</v>
      </c>
      <c r="G83" s="11">
        <v>22.916666666666671</v>
      </c>
      <c r="H83" s="11">
        <v>15.83333333333333</v>
      </c>
      <c r="I83" s="11">
        <v>5</v>
      </c>
      <c r="J83" s="14">
        <v>137.08333333333329</v>
      </c>
      <c r="K83" s="11">
        <v>0</v>
      </c>
      <c r="L83" s="11">
        <v>0</v>
      </c>
      <c r="M83" s="11">
        <v>3117.8833333333341</v>
      </c>
      <c r="N83" s="14">
        <v>2347.8833333333332</v>
      </c>
      <c r="O83" s="14">
        <v>978.30108333333374</v>
      </c>
      <c r="P83" s="11">
        <v>250</v>
      </c>
      <c r="Q83" s="4"/>
    </row>
    <row r="84" spans="1:17" x14ac:dyDescent="0.35">
      <c r="A84" s="16">
        <v>47907</v>
      </c>
      <c r="B84" s="11">
        <v>3117.8833333333341</v>
      </c>
      <c r="C84" s="11">
        <v>437.5</v>
      </c>
      <c r="D84" s="11">
        <v>332.5</v>
      </c>
      <c r="E84" s="11">
        <v>197.5</v>
      </c>
      <c r="F84" s="14">
        <v>135</v>
      </c>
      <c r="G84" s="11">
        <v>22.916666666666671</v>
      </c>
      <c r="H84" s="11">
        <v>15.83333333333333</v>
      </c>
      <c r="I84" s="11">
        <v>5</v>
      </c>
      <c r="J84" s="14">
        <v>137.08333333333329</v>
      </c>
      <c r="K84" s="11">
        <v>0</v>
      </c>
      <c r="L84" s="11">
        <v>0</v>
      </c>
      <c r="M84" s="11">
        <v>3254.9666666666681</v>
      </c>
      <c r="N84" s="14">
        <v>2484.9666666666672</v>
      </c>
      <c r="O84" s="14">
        <v>1010.703166666667</v>
      </c>
      <c r="P84" s="11">
        <v>250</v>
      </c>
      <c r="Q84" s="4"/>
    </row>
    <row r="85" spans="1:17" x14ac:dyDescent="0.35">
      <c r="A85" s="16">
        <v>47938</v>
      </c>
      <c r="B85" s="11">
        <v>3254.9666666666681</v>
      </c>
      <c r="C85" s="11">
        <v>437.5</v>
      </c>
      <c r="D85" s="11">
        <v>332.5</v>
      </c>
      <c r="E85" s="11">
        <v>197.5</v>
      </c>
      <c r="F85" s="14">
        <v>135</v>
      </c>
      <c r="G85" s="11">
        <v>22.916666666666671</v>
      </c>
      <c r="H85" s="11">
        <v>15.83333333333333</v>
      </c>
      <c r="I85" s="11">
        <v>5</v>
      </c>
      <c r="J85" s="14">
        <v>137.08333333333329</v>
      </c>
      <c r="K85" s="11">
        <v>0</v>
      </c>
      <c r="L85" s="11">
        <v>0</v>
      </c>
      <c r="M85" s="11">
        <v>3392.0500000000011</v>
      </c>
      <c r="N85" s="14">
        <v>2622.05</v>
      </c>
      <c r="O85" s="14">
        <v>1043.1052500000001</v>
      </c>
      <c r="P85" s="11">
        <v>250</v>
      </c>
      <c r="Q85" s="4"/>
    </row>
    <row r="86" spans="1:17" x14ac:dyDescent="0.35">
      <c r="A86" s="16">
        <v>47968</v>
      </c>
      <c r="B86" s="11">
        <v>3392.0500000000011</v>
      </c>
      <c r="C86" s="11">
        <v>437.5</v>
      </c>
      <c r="D86" s="11">
        <v>332.5</v>
      </c>
      <c r="E86" s="11">
        <v>197.5</v>
      </c>
      <c r="F86" s="14">
        <v>135</v>
      </c>
      <c r="G86" s="11">
        <v>22.916666666666671</v>
      </c>
      <c r="H86" s="11">
        <v>15.83333333333333</v>
      </c>
      <c r="I86" s="11">
        <v>5</v>
      </c>
      <c r="J86" s="14">
        <v>137.08333333333329</v>
      </c>
      <c r="K86" s="11">
        <v>0</v>
      </c>
      <c r="L86" s="11">
        <v>0</v>
      </c>
      <c r="M86" s="11">
        <v>3529.133333333335</v>
      </c>
      <c r="N86" s="14">
        <v>2759.1333333333341</v>
      </c>
      <c r="O86" s="14">
        <v>1075.5073333333339</v>
      </c>
      <c r="P86" s="11">
        <v>250</v>
      </c>
      <c r="Q86" s="4"/>
    </row>
    <row r="87" spans="1:17" x14ac:dyDescent="0.35">
      <c r="A87" s="16">
        <v>47999</v>
      </c>
      <c r="B87" s="11">
        <v>3529.133333333335</v>
      </c>
      <c r="C87" s="11">
        <v>437.5</v>
      </c>
      <c r="D87" s="11">
        <v>332.5</v>
      </c>
      <c r="E87" s="11">
        <v>197.5</v>
      </c>
      <c r="F87" s="14">
        <v>135</v>
      </c>
      <c r="G87" s="11">
        <v>22.916666666666671</v>
      </c>
      <c r="H87" s="11">
        <v>15.83333333333333</v>
      </c>
      <c r="I87" s="11">
        <v>5</v>
      </c>
      <c r="J87" s="14">
        <v>137.08333333333329</v>
      </c>
      <c r="K87" s="11">
        <v>0</v>
      </c>
      <c r="L87" s="11">
        <v>0</v>
      </c>
      <c r="M87" s="11">
        <v>3666.2166666666681</v>
      </c>
      <c r="N87" s="14">
        <v>2896.2166666666672</v>
      </c>
      <c r="O87" s="14">
        <v>1107.9094166666671</v>
      </c>
      <c r="P87" s="11">
        <v>250</v>
      </c>
      <c r="Q87" s="4"/>
    </row>
    <row r="88" spans="1:17" x14ac:dyDescent="0.35">
      <c r="A88" s="16">
        <v>48029</v>
      </c>
      <c r="B88" s="11">
        <v>3666.2166666666681</v>
      </c>
      <c r="C88" s="11">
        <v>437.5</v>
      </c>
      <c r="D88" s="11">
        <v>332.5</v>
      </c>
      <c r="E88" s="11">
        <v>197.5</v>
      </c>
      <c r="F88" s="14">
        <v>135</v>
      </c>
      <c r="G88" s="11">
        <v>22.916666666666671</v>
      </c>
      <c r="H88" s="11">
        <v>15.83333333333333</v>
      </c>
      <c r="I88" s="11">
        <v>5</v>
      </c>
      <c r="J88" s="14">
        <v>137.08333333333329</v>
      </c>
      <c r="K88" s="11">
        <v>0</v>
      </c>
      <c r="L88" s="11">
        <v>0</v>
      </c>
      <c r="M88" s="11">
        <v>3803.300000000002</v>
      </c>
      <c r="N88" s="14">
        <v>3033.3000000000011</v>
      </c>
      <c r="O88" s="14">
        <v>1140.3115</v>
      </c>
      <c r="P88" s="11">
        <v>250</v>
      </c>
      <c r="Q88" s="4"/>
    </row>
    <row r="89" spans="1:17" x14ac:dyDescent="0.35">
      <c r="A89" s="16">
        <v>48060</v>
      </c>
      <c r="B89" s="11">
        <v>3803.300000000002</v>
      </c>
      <c r="C89" s="11">
        <v>437.5</v>
      </c>
      <c r="D89" s="11">
        <v>332.5</v>
      </c>
      <c r="E89" s="11">
        <v>197.5</v>
      </c>
      <c r="F89" s="14">
        <v>135</v>
      </c>
      <c r="G89" s="11">
        <v>22.916666666666671</v>
      </c>
      <c r="H89" s="11">
        <v>15.83333333333333</v>
      </c>
      <c r="I89" s="11">
        <v>5</v>
      </c>
      <c r="J89" s="14">
        <v>137.08333333333329</v>
      </c>
      <c r="K89" s="11">
        <v>0</v>
      </c>
      <c r="L89" s="11">
        <v>0</v>
      </c>
      <c r="M89" s="11">
        <v>3940.383333333335</v>
      </c>
      <c r="N89" s="14">
        <v>3170.3833333333341</v>
      </c>
      <c r="O89" s="14">
        <v>1172.7135833333341</v>
      </c>
      <c r="P89" s="11">
        <v>250</v>
      </c>
      <c r="Q89" s="4"/>
    </row>
    <row r="90" spans="1:17" x14ac:dyDescent="0.35">
      <c r="A90" s="16">
        <v>48091</v>
      </c>
      <c r="B90" s="11">
        <v>3940.383333333335</v>
      </c>
      <c r="C90" s="11">
        <v>437.5</v>
      </c>
      <c r="D90" s="11">
        <v>332.5</v>
      </c>
      <c r="E90" s="11">
        <v>197.5</v>
      </c>
      <c r="F90" s="14">
        <v>135</v>
      </c>
      <c r="G90" s="11">
        <v>22.916666666666671</v>
      </c>
      <c r="H90" s="11">
        <v>15.83333333333333</v>
      </c>
      <c r="I90" s="11">
        <v>5</v>
      </c>
      <c r="J90" s="14">
        <v>137.08333333333329</v>
      </c>
      <c r="K90" s="11">
        <v>0</v>
      </c>
      <c r="L90" s="11">
        <v>0</v>
      </c>
      <c r="M90" s="11">
        <v>4077.466666666669</v>
      </c>
      <c r="N90" s="14">
        <v>3307.4666666666681</v>
      </c>
      <c r="O90" s="14">
        <v>1205.115666666667</v>
      </c>
      <c r="P90" s="11">
        <v>250</v>
      </c>
      <c r="Q90" s="4"/>
    </row>
    <row r="91" spans="1:17" x14ac:dyDescent="0.35">
      <c r="A91" s="16">
        <v>48121</v>
      </c>
      <c r="B91" s="11">
        <v>4077.466666666669</v>
      </c>
      <c r="C91" s="11">
        <v>437.5</v>
      </c>
      <c r="D91" s="11">
        <v>332.5</v>
      </c>
      <c r="E91" s="11">
        <v>197.5</v>
      </c>
      <c r="F91" s="14">
        <v>135</v>
      </c>
      <c r="G91" s="11">
        <v>22.916666666666671</v>
      </c>
      <c r="H91" s="11">
        <v>15.83333333333333</v>
      </c>
      <c r="I91" s="11">
        <v>5</v>
      </c>
      <c r="J91" s="14">
        <v>137.08333333333329</v>
      </c>
      <c r="K91" s="11">
        <v>0</v>
      </c>
      <c r="L91" s="11">
        <v>0</v>
      </c>
      <c r="M91" s="11">
        <v>4214.550000000002</v>
      </c>
      <c r="N91" s="14">
        <v>3444.5500000000011</v>
      </c>
      <c r="O91" s="14">
        <v>1237.5177500000009</v>
      </c>
      <c r="P91" s="11">
        <v>250</v>
      </c>
      <c r="Q91" s="4"/>
    </row>
    <row r="92" spans="1:17" x14ac:dyDescent="0.35">
      <c r="A92" s="16">
        <v>48152</v>
      </c>
      <c r="B92" s="11">
        <v>4214.550000000002</v>
      </c>
      <c r="C92" s="11">
        <v>437.5</v>
      </c>
      <c r="D92" s="11">
        <v>332.5</v>
      </c>
      <c r="E92" s="11">
        <v>197.5</v>
      </c>
      <c r="F92" s="14">
        <v>135</v>
      </c>
      <c r="G92" s="11">
        <v>22.916666666666671</v>
      </c>
      <c r="H92" s="11">
        <v>15.83333333333333</v>
      </c>
      <c r="I92" s="11">
        <v>5</v>
      </c>
      <c r="J92" s="14">
        <v>137.08333333333329</v>
      </c>
      <c r="K92" s="11">
        <v>0</v>
      </c>
      <c r="L92" s="11">
        <v>0</v>
      </c>
      <c r="M92" s="11">
        <v>4351.633333333335</v>
      </c>
      <c r="N92" s="14">
        <v>3581.633333333335</v>
      </c>
      <c r="O92" s="14">
        <v>1269.9198333333341</v>
      </c>
      <c r="P92" s="11">
        <v>250</v>
      </c>
      <c r="Q92" s="4"/>
    </row>
    <row r="93" spans="1:17" x14ac:dyDescent="0.35">
      <c r="A93" s="16">
        <v>48182</v>
      </c>
      <c r="B93" s="11">
        <v>4351.633333333335</v>
      </c>
      <c r="C93" s="11">
        <v>437.5</v>
      </c>
      <c r="D93" s="11">
        <v>332.5</v>
      </c>
      <c r="E93" s="11">
        <v>197.5</v>
      </c>
      <c r="F93" s="14">
        <v>135</v>
      </c>
      <c r="G93" s="11">
        <v>22.916666666666671</v>
      </c>
      <c r="H93" s="11">
        <v>15.83333333333333</v>
      </c>
      <c r="I93" s="11">
        <v>5</v>
      </c>
      <c r="J93" s="14">
        <v>137.08333333333329</v>
      </c>
      <c r="K93" s="11">
        <v>0</v>
      </c>
      <c r="L93" s="11">
        <v>0</v>
      </c>
      <c r="M93" s="11">
        <v>4488.7166666666681</v>
      </c>
      <c r="N93" s="14">
        <v>3718.7166666666681</v>
      </c>
      <c r="O93" s="14">
        <v>1302.321916666667</v>
      </c>
      <c r="P93" s="11">
        <v>250</v>
      </c>
      <c r="Q93" s="4"/>
    </row>
    <row r="94" spans="1:17" x14ac:dyDescent="0.35">
      <c r="A94" s="16">
        <v>48213</v>
      </c>
      <c r="B94" s="11">
        <v>4488.7166666666681</v>
      </c>
      <c r="C94" s="11">
        <v>437.5</v>
      </c>
      <c r="D94" s="11">
        <v>332.5</v>
      </c>
      <c r="E94" s="11">
        <v>197.5</v>
      </c>
      <c r="F94" s="14">
        <v>135</v>
      </c>
      <c r="G94" s="11">
        <v>22.916666666666671</v>
      </c>
      <c r="H94" s="11">
        <v>15.83333333333333</v>
      </c>
      <c r="I94" s="11">
        <v>5</v>
      </c>
      <c r="J94" s="14">
        <v>137.08333333333329</v>
      </c>
      <c r="K94" s="11">
        <v>0</v>
      </c>
      <c r="L94" s="11">
        <v>0</v>
      </c>
      <c r="M94" s="11">
        <v>4625.8000000000011</v>
      </c>
      <c r="N94" s="14">
        <v>3855.800000000002</v>
      </c>
      <c r="O94" s="14">
        <v>1334.7240000000011</v>
      </c>
      <c r="P94" s="11">
        <v>250</v>
      </c>
      <c r="Q94" s="4"/>
    </row>
  </sheetData>
  <autoFilter ref="A31:Q94" xr:uid="{00000000-0009-0000-0000-000003000000}"/>
  <pageMargins left="0.75" right="0.75" top="1" bottom="1" header="0.5" footer="0.5"/>
  <pageSetup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9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2" customWidth="1"/>
    <col min="2" max="8" width="14" customWidth="1"/>
  </cols>
  <sheetData>
    <row r="1" spans="1:8" ht="25" x14ac:dyDescent="0.5">
      <c r="A1" s="1" t="s">
        <v>572</v>
      </c>
    </row>
    <row r="2" spans="1:8" x14ac:dyDescent="0.35">
      <c r="A2" s="2" t="s">
        <v>573</v>
      </c>
    </row>
    <row r="4" spans="1:8" ht="22" customHeight="1" x14ac:dyDescent="0.35">
      <c r="A4" s="3" t="s">
        <v>574</v>
      </c>
      <c r="B4" s="3">
        <v>2025</v>
      </c>
      <c r="C4" s="3">
        <v>2026</v>
      </c>
      <c r="D4" s="3">
        <v>2027</v>
      </c>
      <c r="E4" s="3">
        <v>2028</v>
      </c>
      <c r="F4" s="3">
        <v>2029</v>
      </c>
      <c r="G4" s="3">
        <v>2030</v>
      </c>
      <c r="H4" s="3">
        <v>2031</v>
      </c>
    </row>
    <row r="5" spans="1:8" x14ac:dyDescent="0.35">
      <c r="A5" s="5" t="s">
        <v>575</v>
      </c>
      <c r="B5" s="14">
        <f>'Cash Flow'!B16</f>
        <v>65.599999999999994</v>
      </c>
      <c r="C5" s="14">
        <f>'Cash Flow'!C16</f>
        <v>979.6</v>
      </c>
      <c r="D5" s="14">
        <f>'Cash Flow'!D16</f>
        <v>933.8</v>
      </c>
      <c r="E5" s="14">
        <f>'Cash Flow'!E16</f>
        <v>1211.8</v>
      </c>
      <c r="F5" s="14">
        <f>'Cash Flow'!F16</f>
        <v>1866.8</v>
      </c>
      <c r="G5" s="14">
        <f>'Cash Flow'!G16</f>
        <v>2980.8</v>
      </c>
      <c r="H5" s="14">
        <f>'Cash Flow'!H16</f>
        <v>4625.8</v>
      </c>
    </row>
    <row r="6" spans="1:8" x14ac:dyDescent="0.35">
      <c r="A6" s="5" t="s">
        <v>576</v>
      </c>
      <c r="B6" s="14">
        <v>17</v>
      </c>
      <c r="C6" s="14">
        <v>65</v>
      </c>
      <c r="D6" s="14">
        <v>124</v>
      </c>
      <c r="E6" s="14">
        <v>205</v>
      </c>
      <c r="F6" s="14">
        <v>300</v>
      </c>
      <c r="G6" s="14">
        <v>410</v>
      </c>
      <c r="H6" s="14">
        <v>525</v>
      </c>
    </row>
    <row r="7" spans="1:8" x14ac:dyDescent="0.35">
      <c r="A7" s="5" t="s">
        <v>577</v>
      </c>
      <c r="B7" s="14">
        <v>6.8</v>
      </c>
      <c r="C7" s="14">
        <v>26</v>
      </c>
      <c r="D7" s="14">
        <v>49.6</v>
      </c>
      <c r="E7" s="14">
        <v>82</v>
      </c>
      <c r="F7" s="14">
        <v>120</v>
      </c>
      <c r="G7" s="14">
        <v>164</v>
      </c>
      <c r="H7" s="14">
        <v>210</v>
      </c>
    </row>
    <row r="8" spans="1:8" x14ac:dyDescent="0.35">
      <c r="A8" s="5" t="s">
        <v>578</v>
      </c>
      <c r="B8" s="14">
        <v>65</v>
      </c>
      <c r="C8" s="14">
        <v>135</v>
      </c>
      <c r="D8" s="14">
        <v>225</v>
      </c>
      <c r="E8" s="14">
        <v>335</v>
      </c>
      <c r="F8" s="14">
        <v>470</v>
      </c>
      <c r="G8" s="14">
        <v>630</v>
      </c>
      <c r="H8" s="14">
        <v>820</v>
      </c>
    </row>
    <row r="9" spans="1:8" x14ac:dyDescent="0.35">
      <c r="A9" s="5" t="s">
        <v>579</v>
      </c>
      <c r="B9" s="14">
        <v>5.0999999999999996</v>
      </c>
      <c r="C9" s="14">
        <v>19.5</v>
      </c>
      <c r="D9" s="14">
        <v>37.200000000000003</v>
      </c>
      <c r="E9" s="14">
        <v>61.5</v>
      </c>
      <c r="F9" s="14">
        <v>90</v>
      </c>
      <c r="G9" s="14">
        <v>123</v>
      </c>
      <c r="H9" s="14">
        <v>157.5</v>
      </c>
    </row>
    <row r="10" spans="1:8" x14ac:dyDescent="0.35">
      <c r="A10" s="8" t="s">
        <v>580</v>
      </c>
      <c r="B10" s="12">
        <f t="shared" ref="B10:H10" si="0">B5+B6+B7+B8+B9</f>
        <v>159.49999999999997</v>
      </c>
      <c r="C10" s="12">
        <f t="shared" si="0"/>
        <v>1225.0999999999999</v>
      </c>
      <c r="D10" s="12">
        <f t="shared" si="0"/>
        <v>1369.6</v>
      </c>
      <c r="E10" s="12">
        <f t="shared" si="0"/>
        <v>1895.3</v>
      </c>
      <c r="F10" s="12">
        <f t="shared" si="0"/>
        <v>2846.8</v>
      </c>
      <c r="G10" s="12">
        <f t="shared" si="0"/>
        <v>4307.8</v>
      </c>
      <c r="H10" s="12">
        <f t="shared" si="0"/>
        <v>6338.3</v>
      </c>
    </row>
    <row r="11" spans="1:8" x14ac:dyDescent="0.35">
      <c r="A11" s="5" t="s">
        <v>581</v>
      </c>
      <c r="B11" s="14">
        <v>6.12</v>
      </c>
      <c r="C11" s="14">
        <v>17.55</v>
      </c>
      <c r="D11" s="14">
        <v>26.04000000000001</v>
      </c>
      <c r="E11" s="14">
        <v>34.849999999999987</v>
      </c>
      <c r="F11" s="14">
        <v>43.500000000000007</v>
      </c>
      <c r="G11" s="14">
        <v>53.3</v>
      </c>
      <c r="H11" s="14">
        <v>63</v>
      </c>
    </row>
    <row r="12" spans="1:8" x14ac:dyDescent="0.35">
      <c r="A12" s="5" t="s">
        <v>582</v>
      </c>
      <c r="B12" s="14">
        <v>2.58</v>
      </c>
      <c r="C12" s="14">
        <v>23.95</v>
      </c>
      <c r="D12" s="14">
        <v>50.36</v>
      </c>
      <c r="E12" s="14">
        <v>95.65</v>
      </c>
      <c r="F12" s="14">
        <v>151.5</v>
      </c>
      <c r="G12" s="14">
        <v>212.7</v>
      </c>
      <c r="H12" s="14">
        <v>269.5</v>
      </c>
    </row>
    <row r="13" spans="1:8" x14ac:dyDescent="0.35">
      <c r="A13" s="5" t="s">
        <v>583</v>
      </c>
      <c r="B13" s="14">
        <v>3.4</v>
      </c>
      <c r="C13" s="14">
        <v>13</v>
      </c>
      <c r="D13" s="14">
        <v>24.8</v>
      </c>
      <c r="E13" s="14">
        <v>41</v>
      </c>
      <c r="F13" s="14">
        <v>60</v>
      </c>
      <c r="G13" s="14">
        <v>82</v>
      </c>
      <c r="H13" s="14">
        <v>105</v>
      </c>
    </row>
    <row r="14" spans="1:8" x14ac:dyDescent="0.35">
      <c r="A14" s="5" t="s">
        <v>584</v>
      </c>
      <c r="B14" s="14">
        <v>1.7</v>
      </c>
      <c r="C14" s="14">
        <v>6.5</v>
      </c>
      <c r="D14" s="14">
        <v>12.4</v>
      </c>
      <c r="E14" s="14">
        <v>20.5</v>
      </c>
      <c r="F14" s="14">
        <v>30</v>
      </c>
      <c r="G14" s="14">
        <v>41</v>
      </c>
      <c r="H14" s="14">
        <v>52.5</v>
      </c>
    </row>
    <row r="15" spans="1:8" x14ac:dyDescent="0.35">
      <c r="A15" s="5" t="s">
        <v>585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</row>
    <row r="16" spans="1:8" x14ac:dyDescent="0.35">
      <c r="A16" s="8" t="s">
        <v>586</v>
      </c>
      <c r="B16" s="12">
        <f t="shared" ref="B16:H16" si="1">B11+B12+B13+B14+B15</f>
        <v>13.799999999999999</v>
      </c>
      <c r="C16" s="12">
        <f t="shared" si="1"/>
        <v>61</v>
      </c>
      <c r="D16" s="12">
        <f t="shared" si="1"/>
        <v>113.60000000000001</v>
      </c>
      <c r="E16" s="12">
        <f t="shared" si="1"/>
        <v>192</v>
      </c>
      <c r="F16" s="12">
        <f t="shared" si="1"/>
        <v>285</v>
      </c>
      <c r="G16" s="12">
        <f t="shared" si="1"/>
        <v>389</v>
      </c>
      <c r="H16" s="12">
        <f t="shared" si="1"/>
        <v>490</v>
      </c>
    </row>
    <row r="17" spans="1:8" x14ac:dyDescent="0.35">
      <c r="A17" s="8" t="s">
        <v>587</v>
      </c>
      <c r="B17" s="12">
        <f t="shared" ref="B17:H17" si="2">B10-B16</f>
        <v>145.69999999999996</v>
      </c>
      <c r="C17" s="12">
        <f t="shared" si="2"/>
        <v>1164.0999999999999</v>
      </c>
      <c r="D17" s="12">
        <f t="shared" si="2"/>
        <v>1256</v>
      </c>
      <c r="E17" s="12">
        <f t="shared" si="2"/>
        <v>1703.3</v>
      </c>
      <c r="F17" s="12">
        <f t="shared" si="2"/>
        <v>2561.8000000000002</v>
      </c>
      <c r="G17" s="12">
        <f t="shared" si="2"/>
        <v>3918.8</v>
      </c>
      <c r="H17" s="12">
        <f t="shared" si="2"/>
        <v>5848.3</v>
      </c>
    </row>
    <row r="18" spans="1:8" x14ac:dyDescent="0.35">
      <c r="A18" s="8" t="s">
        <v>588</v>
      </c>
      <c r="B18" s="12">
        <f t="shared" ref="B18:H18" si="3">B16+B17</f>
        <v>159.49999999999997</v>
      </c>
      <c r="C18" s="12">
        <f t="shared" si="3"/>
        <v>1225.0999999999999</v>
      </c>
      <c r="D18" s="12">
        <f t="shared" si="3"/>
        <v>1369.6</v>
      </c>
      <c r="E18" s="12">
        <f t="shared" si="3"/>
        <v>1895.3</v>
      </c>
      <c r="F18" s="12">
        <f t="shared" si="3"/>
        <v>2846.8</v>
      </c>
      <c r="G18" s="12">
        <f t="shared" si="3"/>
        <v>4307.8</v>
      </c>
      <c r="H18" s="12">
        <f t="shared" si="3"/>
        <v>6338.3</v>
      </c>
    </row>
    <row r="19" spans="1:8" x14ac:dyDescent="0.35">
      <c r="A19" s="8" t="s">
        <v>589</v>
      </c>
      <c r="B19" s="12">
        <f t="shared" ref="B19:H19" si="4">B10-B18</f>
        <v>0</v>
      </c>
      <c r="C19" s="12">
        <f t="shared" si="4"/>
        <v>0</v>
      </c>
      <c r="D19" s="12">
        <f t="shared" si="4"/>
        <v>0</v>
      </c>
      <c r="E19" s="12">
        <f t="shared" si="4"/>
        <v>0</v>
      </c>
      <c r="F19" s="12">
        <f t="shared" si="4"/>
        <v>0</v>
      </c>
      <c r="G19" s="12">
        <f t="shared" si="4"/>
        <v>0</v>
      </c>
      <c r="H19" s="12">
        <f t="shared" si="4"/>
        <v>0</v>
      </c>
    </row>
  </sheetData>
  <autoFilter ref="A4:H19" xr:uid="{00000000-0009-0000-0000-000004000000}"/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23"/>
  <sheetViews>
    <sheetView showGridLines="0" workbookViewId="0"/>
  </sheetViews>
  <sheetFormatPr defaultRowHeight="14.5" x14ac:dyDescent="0.35"/>
  <cols>
    <col min="1" max="1" width="28" customWidth="1"/>
    <col min="2" max="2" width="20" customWidth="1"/>
    <col min="3" max="3" width="22" customWidth="1"/>
    <col min="4" max="6" width="14" customWidth="1"/>
  </cols>
  <sheetData>
    <row r="1" spans="1:6" ht="25" x14ac:dyDescent="0.5">
      <c r="A1" s="1" t="s">
        <v>590</v>
      </c>
    </row>
    <row r="2" spans="1:6" x14ac:dyDescent="0.35">
      <c r="A2" s="2" t="s">
        <v>591</v>
      </c>
    </row>
    <row r="4" spans="1:6" ht="15.5" x14ac:dyDescent="0.35">
      <c r="A4" s="17" t="s">
        <v>592</v>
      </c>
    </row>
    <row r="5" spans="1:6" x14ac:dyDescent="0.35">
      <c r="A5" s="52" t="s">
        <v>593</v>
      </c>
      <c r="B5" s="53"/>
      <c r="C5" s="53"/>
      <c r="D5" s="53"/>
      <c r="E5" s="53"/>
      <c r="F5" s="53"/>
    </row>
    <row r="6" spans="1:6" x14ac:dyDescent="0.35">
      <c r="A6" s="53"/>
      <c r="B6" s="53"/>
      <c r="C6" s="53"/>
      <c r="D6" s="53"/>
      <c r="E6" s="53"/>
      <c r="F6" s="53"/>
    </row>
    <row r="8" spans="1:6" ht="22" customHeight="1" x14ac:dyDescent="0.35">
      <c r="A8" s="3" t="s">
        <v>594</v>
      </c>
      <c r="B8" s="3" t="s">
        <v>595</v>
      </c>
      <c r="C8" s="3" t="s">
        <v>596</v>
      </c>
    </row>
    <row r="9" spans="1:6" ht="23" x14ac:dyDescent="0.35">
      <c r="A9" s="18" t="s">
        <v>597</v>
      </c>
      <c r="B9" s="18" t="s">
        <v>598</v>
      </c>
      <c r="C9" s="18" t="s">
        <v>599</v>
      </c>
    </row>
    <row r="10" spans="1:6" ht="23" x14ac:dyDescent="0.35">
      <c r="A10" s="19" t="s">
        <v>558</v>
      </c>
      <c r="B10" s="19" t="s">
        <v>600</v>
      </c>
      <c r="C10" s="19" t="s">
        <v>601</v>
      </c>
    </row>
    <row r="11" spans="1:6" ht="23" x14ac:dyDescent="0.35">
      <c r="A11" s="4" t="s">
        <v>554</v>
      </c>
      <c r="B11" s="4" t="s">
        <v>602</v>
      </c>
      <c r="C11" s="4" t="s">
        <v>603</v>
      </c>
    </row>
    <row r="12" spans="1:6" ht="23" x14ac:dyDescent="0.35">
      <c r="A12" s="20" t="s">
        <v>604</v>
      </c>
      <c r="B12" s="20" t="s">
        <v>605</v>
      </c>
      <c r="C12" s="20" t="s">
        <v>606</v>
      </c>
    </row>
    <row r="15" spans="1:6" ht="22" customHeight="1" x14ac:dyDescent="0.35">
      <c r="A15" s="3" t="s">
        <v>607</v>
      </c>
      <c r="B15" s="3" t="s">
        <v>3</v>
      </c>
      <c r="C15" s="3" t="s">
        <v>552</v>
      </c>
    </row>
    <row r="16" spans="1:6" x14ac:dyDescent="0.35">
      <c r="A16" s="5" t="s">
        <v>608</v>
      </c>
      <c r="B16" s="21" t="s">
        <v>21</v>
      </c>
      <c r="C16" s="5" t="s">
        <v>609</v>
      </c>
    </row>
    <row r="17" spans="1:3" x14ac:dyDescent="0.35">
      <c r="A17" s="5" t="s">
        <v>610</v>
      </c>
      <c r="B17" s="21">
        <v>1000</v>
      </c>
      <c r="C17" s="5" t="s">
        <v>609</v>
      </c>
    </row>
    <row r="18" spans="1:3" x14ac:dyDescent="0.35">
      <c r="A18" s="5" t="s">
        <v>611</v>
      </c>
      <c r="B18" s="21">
        <v>800</v>
      </c>
      <c r="C18" s="5" t="s">
        <v>609</v>
      </c>
    </row>
    <row r="19" spans="1:3" x14ac:dyDescent="0.35">
      <c r="A19" s="5" t="s">
        <v>612</v>
      </c>
      <c r="B19" s="21">
        <v>200</v>
      </c>
      <c r="C19" s="5" t="s">
        <v>609</v>
      </c>
    </row>
    <row r="20" spans="1:3" x14ac:dyDescent="0.35">
      <c r="A20" s="5" t="s">
        <v>613</v>
      </c>
      <c r="B20" s="21">
        <v>20000</v>
      </c>
      <c r="C20" s="5" t="s">
        <v>609</v>
      </c>
    </row>
    <row r="21" spans="1:3" x14ac:dyDescent="0.35">
      <c r="A21" s="5" t="s">
        <v>614</v>
      </c>
      <c r="B21" s="21">
        <v>20800</v>
      </c>
      <c r="C21" s="5" t="s">
        <v>558</v>
      </c>
    </row>
    <row r="22" spans="1:3" x14ac:dyDescent="0.35">
      <c r="A22" s="5" t="s">
        <v>615</v>
      </c>
      <c r="B22" s="10">
        <v>3.8461538461538457E-2</v>
      </c>
      <c r="C22" s="5" t="s">
        <v>558</v>
      </c>
    </row>
    <row r="23" spans="1:3" x14ac:dyDescent="0.35">
      <c r="A23" s="5" t="s">
        <v>616</v>
      </c>
      <c r="B23" s="10">
        <v>4.807692307692308E-2</v>
      </c>
      <c r="C23" s="5" t="s">
        <v>558</v>
      </c>
    </row>
  </sheetData>
  <autoFilter ref="A15:C23" xr:uid="{00000000-0009-0000-0000-000005000000}"/>
  <mergeCells count="1">
    <mergeCell ref="A5:F6"/>
  </mergeCells>
  <pageMargins left="0.75" right="0.75" top="1" bottom="1" header="0.5" footer="0.5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41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2" width="22" customWidth="1"/>
    <col min="3" max="3" width="52" customWidth="1"/>
    <col min="4" max="4" width="16" customWidth="1"/>
    <col min="5" max="5" width="14" customWidth="1"/>
    <col min="6" max="6" width="22" customWidth="1"/>
    <col min="7" max="7" width="18" customWidth="1"/>
    <col min="8" max="8" width="75" customWidth="1"/>
  </cols>
  <sheetData>
    <row r="1" spans="1:8" ht="25" x14ac:dyDescent="0.5">
      <c r="A1" s="1" t="s">
        <v>617</v>
      </c>
    </row>
    <row r="2" spans="1:8" x14ac:dyDescent="0.35">
      <c r="A2" s="2" t="s">
        <v>618</v>
      </c>
    </row>
    <row r="4" spans="1:8" ht="22" customHeight="1" x14ac:dyDescent="0.35">
      <c r="A4" s="3" t="s">
        <v>619</v>
      </c>
      <c r="B4" s="3" t="s">
        <v>620</v>
      </c>
      <c r="C4" s="3" t="s">
        <v>621</v>
      </c>
      <c r="D4" s="3" t="s">
        <v>622</v>
      </c>
      <c r="E4" s="3" t="s">
        <v>623</v>
      </c>
      <c r="F4" s="3" t="s">
        <v>624</v>
      </c>
      <c r="G4" s="3" t="s">
        <v>594</v>
      </c>
      <c r="H4" s="3" t="s">
        <v>625</v>
      </c>
    </row>
    <row r="5" spans="1:8" ht="15.5" x14ac:dyDescent="0.35">
      <c r="A5" s="18" t="s">
        <v>626</v>
      </c>
      <c r="B5" s="18" t="s">
        <v>7</v>
      </c>
      <c r="C5" s="18" t="s">
        <v>627</v>
      </c>
      <c r="D5" s="18" t="s">
        <v>30</v>
      </c>
      <c r="E5" s="18" t="s">
        <v>11</v>
      </c>
      <c r="F5" s="18" t="s">
        <v>628</v>
      </c>
      <c r="G5" s="18" t="s">
        <v>629</v>
      </c>
      <c r="H5" s="22" t="s">
        <v>630</v>
      </c>
    </row>
    <row r="6" spans="1:8" ht="15.5" x14ac:dyDescent="0.35">
      <c r="A6" s="18" t="s">
        <v>631</v>
      </c>
      <c r="B6" s="18" t="s">
        <v>7</v>
      </c>
      <c r="C6" s="18" t="s">
        <v>632</v>
      </c>
      <c r="D6" s="18" t="s">
        <v>633</v>
      </c>
      <c r="E6" s="18" t="s">
        <v>11</v>
      </c>
      <c r="F6" s="18" t="s">
        <v>628</v>
      </c>
      <c r="G6" s="18" t="s">
        <v>629</v>
      </c>
      <c r="H6" s="22" t="s">
        <v>634</v>
      </c>
    </row>
    <row r="7" spans="1:8" ht="15.5" x14ac:dyDescent="0.35">
      <c r="A7" s="18" t="s">
        <v>635</v>
      </c>
      <c r="B7" s="18" t="s">
        <v>7</v>
      </c>
      <c r="C7" s="18" t="s">
        <v>636</v>
      </c>
      <c r="D7" s="18" t="s">
        <v>30</v>
      </c>
      <c r="E7" s="18" t="s">
        <v>11</v>
      </c>
      <c r="F7" s="18" t="s">
        <v>628</v>
      </c>
      <c r="G7" s="18" t="s">
        <v>629</v>
      </c>
      <c r="H7" s="22" t="s">
        <v>637</v>
      </c>
    </row>
    <row r="8" spans="1:8" ht="15.5" x14ac:dyDescent="0.35">
      <c r="A8" s="18" t="s">
        <v>638</v>
      </c>
      <c r="B8" s="18" t="s">
        <v>7</v>
      </c>
      <c r="C8" s="18" t="s">
        <v>639</v>
      </c>
      <c r="D8" s="18"/>
      <c r="E8" s="18" t="s">
        <v>11</v>
      </c>
      <c r="F8" s="18" t="s">
        <v>628</v>
      </c>
      <c r="G8" s="18" t="s">
        <v>629</v>
      </c>
      <c r="H8" s="22" t="s">
        <v>640</v>
      </c>
    </row>
    <row r="9" spans="1:8" ht="15.5" x14ac:dyDescent="0.35">
      <c r="A9" s="18" t="s">
        <v>641</v>
      </c>
      <c r="B9" s="18" t="s">
        <v>7</v>
      </c>
      <c r="C9" s="18" t="s">
        <v>627</v>
      </c>
      <c r="D9" s="18" t="s">
        <v>30</v>
      </c>
      <c r="E9" s="18" t="s">
        <v>11</v>
      </c>
      <c r="F9" s="18" t="s">
        <v>628</v>
      </c>
      <c r="G9" s="18" t="s">
        <v>629</v>
      </c>
      <c r="H9" s="22" t="s">
        <v>630</v>
      </c>
    </row>
    <row r="10" spans="1:8" ht="15.5" x14ac:dyDescent="0.35">
      <c r="A10" s="18" t="s">
        <v>642</v>
      </c>
      <c r="B10" s="18" t="s">
        <v>7</v>
      </c>
      <c r="C10" s="18" t="s">
        <v>639</v>
      </c>
      <c r="D10" s="18"/>
      <c r="E10" s="18" t="s">
        <v>11</v>
      </c>
      <c r="F10" s="18" t="s">
        <v>628</v>
      </c>
      <c r="G10" s="18" t="s">
        <v>629</v>
      </c>
      <c r="H10" s="22" t="s">
        <v>643</v>
      </c>
    </row>
    <row r="11" spans="1:8" ht="15.5" x14ac:dyDescent="0.35">
      <c r="A11" s="18" t="s">
        <v>644</v>
      </c>
      <c r="B11" s="18" t="s">
        <v>7</v>
      </c>
      <c r="C11" s="18" t="s">
        <v>645</v>
      </c>
      <c r="D11" s="18"/>
      <c r="E11" s="18" t="s">
        <v>11</v>
      </c>
      <c r="F11" s="18" t="s">
        <v>628</v>
      </c>
      <c r="G11" s="18" t="s">
        <v>629</v>
      </c>
      <c r="H11" s="22" t="s">
        <v>646</v>
      </c>
    </row>
    <row r="12" spans="1:8" ht="15.5" x14ac:dyDescent="0.35">
      <c r="A12" s="18" t="s">
        <v>647</v>
      </c>
      <c r="B12" s="18" t="s">
        <v>7</v>
      </c>
      <c r="C12" s="18" t="s">
        <v>648</v>
      </c>
      <c r="D12" s="18" t="s">
        <v>649</v>
      </c>
      <c r="E12" s="18" t="s">
        <v>11</v>
      </c>
      <c r="F12" s="18" t="s">
        <v>628</v>
      </c>
      <c r="G12" s="18" t="s">
        <v>629</v>
      </c>
      <c r="H12" s="22" t="s">
        <v>650</v>
      </c>
    </row>
    <row r="13" spans="1:8" ht="15.5" x14ac:dyDescent="0.35">
      <c r="A13" s="18" t="s">
        <v>651</v>
      </c>
      <c r="B13" s="18" t="s">
        <v>7</v>
      </c>
      <c r="C13" s="18" t="s">
        <v>652</v>
      </c>
      <c r="D13" s="18"/>
      <c r="E13" s="18" t="s">
        <v>11</v>
      </c>
      <c r="F13" s="18" t="s">
        <v>628</v>
      </c>
      <c r="G13" s="18" t="s">
        <v>629</v>
      </c>
      <c r="H13" s="22" t="s">
        <v>653</v>
      </c>
    </row>
    <row r="14" spans="1:8" ht="15.5" x14ac:dyDescent="0.35">
      <c r="A14" s="18" t="s">
        <v>654</v>
      </c>
      <c r="B14" s="18" t="s">
        <v>7</v>
      </c>
      <c r="C14" s="18" t="s">
        <v>655</v>
      </c>
      <c r="D14" s="18"/>
      <c r="E14" s="18" t="s">
        <v>11</v>
      </c>
      <c r="F14" s="18" t="s">
        <v>628</v>
      </c>
      <c r="G14" s="18" t="s">
        <v>629</v>
      </c>
      <c r="H14" s="22" t="s">
        <v>656</v>
      </c>
    </row>
    <row r="15" spans="1:8" ht="15.5" x14ac:dyDescent="0.35">
      <c r="A15" s="18" t="s">
        <v>657</v>
      </c>
      <c r="B15" s="18" t="s">
        <v>7</v>
      </c>
      <c r="C15" s="18" t="s">
        <v>658</v>
      </c>
      <c r="D15" s="18"/>
      <c r="E15" s="18" t="s">
        <v>11</v>
      </c>
      <c r="F15" s="18" t="s">
        <v>628</v>
      </c>
      <c r="G15" s="18" t="s">
        <v>629</v>
      </c>
      <c r="H15" s="22" t="s">
        <v>659</v>
      </c>
    </row>
    <row r="16" spans="1:8" ht="15.5" x14ac:dyDescent="0.35">
      <c r="A16" s="18" t="s">
        <v>660</v>
      </c>
      <c r="B16" s="18" t="s">
        <v>7</v>
      </c>
      <c r="C16" s="18" t="s">
        <v>661</v>
      </c>
      <c r="D16" s="18"/>
      <c r="E16" s="18" t="s">
        <v>11</v>
      </c>
      <c r="F16" s="18" t="s">
        <v>628</v>
      </c>
      <c r="G16" s="18" t="s">
        <v>629</v>
      </c>
      <c r="H16" s="22" t="s">
        <v>662</v>
      </c>
    </row>
    <row r="17" spans="1:8" ht="15.5" x14ac:dyDescent="0.35">
      <c r="A17" s="18" t="s">
        <v>663</v>
      </c>
      <c r="B17" s="18" t="s">
        <v>7</v>
      </c>
      <c r="C17" s="18" t="s">
        <v>664</v>
      </c>
      <c r="D17" s="18" t="s">
        <v>665</v>
      </c>
      <c r="E17" s="18" t="s">
        <v>11</v>
      </c>
      <c r="F17" s="18" t="s">
        <v>628</v>
      </c>
      <c r="G17" s="18" t="s">
        <v>629</v>
      </c>
      <c r="H17" s="22" t="s">
        <v>666</v>
      </c>
    </row>
    <row r="18" spans="1:8" ht="15.5" x14ac:dyDescent="0.35">
      <c r="A18" s="18" t="s">
        <v>667</v>
      </c>
      <c r="B18" s="18" t="s">
        <v>7</v>
      </c>
      <c r="C18" s="18" t="s">
        <v>668</v>
      </c>
      <c r="D18" s="18"/>
      <c r="E18" s="18" t="s">
        <v>11</v>
      </c>
      <c r="F18" s="18" t="s">
        <v>628</v>
      </c>
      <c r="G18" s="18" t="s">
        <v>629</v>
      </c>
      <c r="H18" s="22" t="s">
        <v>669</v>
      </c>
    </row>
    <row r="19" spans="1:8" ht="15.5" x14ac:dyDescent="0.35">
      <c r="A19" s="18" t="s">
        <v>670</v>
      </c>
      <c r="B19" s="18" t="s">
        <v>671</v>
      </c>
      <c r="C19" s="18" t="s">
        <v>672</v>
      </c>
      <c r="D19" s="18" t="s">
        <v>30</v>
      </c>
      <c r="E19" s="18" t="s">
        <v>11</v>
      </c>
      <c r="F19" s="18" t="s">
        <v>673</v>
      </c>
      <c r="G19" s="18" t="s">
        <v>629</v>
      </c>
      <c r="H19" s="22" t="s">
        <v>674</v>
      </c>
    </row>
    <row r="20" spans="1:8" ht="15.5" x14ac:dyDescent="0.35">
      <c r="A20" s="4" t="s">
        <v>675</v>
      </c>
      <c r="B20" s="4" t="s">
        <v>676</v>
      </c>
      <c r="C20" s="4" t="s">
        <v>677</v>
      </c>
      <c r="D20" s="4"/>
      <c r="E20" s="4" t="s">
        <v>11</v>
      </c>
      <c r="F20" s="4" t="s">
        <v>678</v>
      </c>
      <c r="G20" s="4" t="s">
        <v>679</v>
      </c>
      <c r="H20" s="23" t="s">
        <v>680</v>
      </c>
    </row>
    <row r="21" spans="1:8" ht="23" x14ac:dyDescent="0.35">
      <c r="A21" s="18" t="s">
        <v>681</v>
      </c>
      <c r="B21" s="18" t="s">
        <v>682</v>
      </c>
      <c r="C21" s="18" t="s">
        <v>683</v>
      </c>
      <c r="D21" s="18" t="s">
        <v>684</v>
      </c>
      <c r="E21" s="18" t="s">
        <v>11</v>
      </c>
      <c r="F21" s="18" t="s">
        <v>685</v>
      </c>
      <c r="G21" s="18" t="s">
        <v>629</v>
      </c>
      <c r="H21" s="22" t="s">
        <v>686</v>
      </c>
    </row>
    <row r="22" spans="1:8" ht="23" x14ac:dyDescent="0.35">
      <c r="A22" s="18" t="s">
        <v>687</v>
      </c>
      <c r="B22" s="18" t="s">
        <v>688</v>
      </c>
      <c r="C22" s="18" t="s">
        <v>689</v>
      </c>
      <c r="D22" s="18" t="s">
        <v>690</v>
      </c>
      <c r="E22" s="18" t="s">
        <v>11</v>
      </c>
      <c r="F22" s="18" t="s">
        <v>685</v>
      </c>
      <c r="G22" s="18" t="s">
        <v>629</v>
      </c>
      <c r="H22" s="22" t="s">
        <v>691</v>
      </c>
    </row>
    <row r="23" spans="1:8" ht="15.5" x14ac:dyDescent="0.35">
      <c r="A23" s="18" t="s">
        <v>692</v>
      </c>
      <c r="B23" s="18" t="s">
        <v>693</v>
      </c>
      <c r="C23" s="18" t="s">
        <v>694</v>
      </c>
      <c r="D23" s="18" t="s">
        <v>695</v>
      </c>
      <c r="E23" s="18" t="s">
        <v>11</v>
      </c>
      <c r="F23" s="18" t="s">
        <v>696</v>
      </c>
      <c r="G23" s="18" t="s">
        <v>629</v>
      </c>
      <c r="H23" s="22" t="s">
        <v>697</v>
      </c>
    </row>
    <row r="24" spans="1:8" ht="15.5" x14ac:dyDescent="0.35">
      <c r="A24" s="18" t="s">
        <v>698</v>
      </c>
      <c r="B24" s="18" t="s">
        <v>693</v>
      </c>
      <c r="C24" s="18" t="s">
        <v>699</v>
      </c>
      <c r="D24" s="18" t="s">
        <v>695</v>
      </c>
      <c r="E24" s="18" t="s">
        <v>11</v>
      </c>
      <c r="F24" s="18" t="s">
        <v>696</v>
      </c>
      <c r="G24" s="18" t="s">
        <v>629</v>
      </c>
      <c r="H24" s="22" t="s">
        <v>700</v>
      </c>
    </row>
    <row r="25" spans="1:8" ht="15.5" x14ac:dyDescent="0.35">
      <c r="A25" s="18" t="s">
        <v>701</v>
      </c>
      <c r="B25" s="18" t="s">
        <v>702</v>
      </c>
      <c r="C25" s="18" t="s">
        <v>703</v>
      </c>
      <c r="D25" s="18" t="s">
        <v>704</v>
      </c>
      <c r="E25" s="18" t="s">
        <v>11</v>
      </c>
      <c r="F25" s="18" t="s">
        <v>685</v>
      </c>
      <c r="G25" s="18" t="s">
        <v>629</v>
      </c>
      <c r="H25" s="22" t="s">
        <v>705</v>
      </c>
    </row>
    <row r="26" spans="1:8" ht="23" x14ac:dyDescent="0.35">
      <c r="A26" s="18" t="s">
        <v>706</v>
      </c>
      <c r="B26" s="18" t="s">
        <v>707</v>
      </c>
      <c r="C26" s="18" t="s">
        <v>708</v>
      </c>
      <c r="D26" s="18" t="s">
        <v>709</v>
      </c>
      <c r="E26" s="18" t="s">
        <v>11</v>
      </c>
      <c r="F26" s="18" t="s">
        <v>696</v>
      </c>
      <c r="G26" s="18" t="s">
        <v>629</v>
      </c>
      <c r="H26" s="22" t="s">
        <v>710</v>
      </c>
    </row>
    <row r="27" spans="1:8" ht="23" x14ac:dyDescent="0.35">
      <c r="A27" s="18" t="s">
        <v>711</v>
      </c>
      <c r="B27" s="18" t="s">
        <v>707</v>
      </c>
      <c r="C27" s="18" t="s">
        <v>712</v>
      </c>
      <c r="D27" s="18" t="s">
        <v>713</v>
      </c>
      <c r="E27" s="18" t="s">
        <v>11</v>
      </c>
      <c r="F27" s="18" t="s">
        <v>696</v>
      </c>
      <c r="G27" s="18" t="s">
        <v>629</v>
      </c>
      <c r="H27" s="22" t="s">
        <v>714</v>
      </c>
    </row>
    <row r="28" spans="1:8" ht="15.5" x14ac:dyDescent="0.35">
      <c r="A28" s="18" t="s">
        <v>715</v>
      </c>
      <c r="B28" s="18" t="s">
        <v>716</v>
      </c>
      <c r="C28" s="18" t="s">
        <v>717</v>
      </c>
      <c r="D28" s="18" t="s">
        <v>718</v>
      </c>
      <c r="E28" s="18" t="s">
        <v>11</v>
      </c>
      <c r="F28" s="18" t="s">
        <v>696</v>
      </c>
      <c r="G28" s="18" t="s">
        <v>629</v>
      </c>
      <c r="H28" s="22" t="s">
        <v>719</v>
      </c>
    </row>
    <row r="29" spans="1:8" ht="15.5" x14ac:dyDescent="0.35">
      <c r="A29" s="18" t="s">
        <v>720</v>
      </c>
      <c r="B29" s="18" t="s">
        <v>721</v>
      </c>
      <c r="C29" s="18" t="s">
        <v>722</v>
      </c>
      <c r="D29" s="18" t="s">
        <v>723</v>
      </c>
      <c r="E29" s="18" t="s">
        <v>11</v>
      </c>
      <c r="F29" s="18" t="s">
        <v>628</v>
      </c>
      <c r="G29" s="18" t="s">
        <v>629</v>
      </c>
      <c r="H29" s="22" t="s">
        <v>724</v>
      </c>
    </row>
    <row r="30" spans="1:8" ht="23" x14ac:dyDescent="0.35">
      <c r="A30" s="18" t="s">
        <v>725</v>
      </c>
      <c r="B30" s="18" t="s">
        <v>726</v>
      </c>
      <c r="C30" s="18" t="s">
        <v>727</v>
      </c>
      <c r="D30" s="18" t="s">
        <v>728</v>
      </c>
      <c r="E30" s="18" t="s">
        <v>11</v>
      </c>
      <c r="F30" s="18" t="s">
        <v>628</v>
      </c>
      <c r="G30" s="18" t="s">
        <v>629</v>
      </c>
      <c r="H30" s="22" t="s">
        <v>729</v>
      </c>
    </row>
    <row r="31" spans="1:8" ht="15.5" x14ac:dyDescent="0.35">
      <c r="A31" s="18" t="s">
        <v>730</v>
      </c>
      <c r="B31" s="18" t="s">
        <v>731</v>
      </c>
      <c r="C31" s="18" t="s">
        <v>732</v>
      </c>
      <c r="D31" s="18" t="s">
        <v>649</v>
      </c>
      <c r="E31" s="18" t="s">
        <v>11</v>
      </c>
      <c r="F31" s="18" t="s">
        <v>628</v>
      </c>
      <c r="G31" s="18" t="s">
        <v>629</v>
      </c>
      <c r="H31" s="22" t="s">
        <v>733</v>
      </c>
    </row>
    <row r="32" spans="1:8" ht="15.5" x14ac:dyDescent="0.35">
      <c r="A32" s="18" t="s">
        <v>734</v>
      </c>
      <c r="B32" s="18" t="s">
        <v>735</v>
      </c>
      <c r="C32" s="18" t="s">
        <v>736</v>
      </c>
      <c r="D32" s="18" t="s">
        <v>737</v>
      </c>
      <c r="E32" s="18" t="s">
        <v>11</v>
      </c>
      <c r="F32" s="18" t="s">
        <v>738</v>
      </c>
      <c r="G32" s="18" t="s">
        <v>629</v>
      </c>
      <c r="H32" s="22" t="s">
        <v>739</v>
      </c>
    </row>
    <row r="33" spans="1:8" ht="15.5" x14ac:dyDescent="0.35">
      <c r="A33" s="18" t="s">
        <v>740</v>
      </c>
      <c r="B33" s="18" t="s">
        <v>741</v>
      </c>
      <c r="C33" s="18" t="s">
        <v>742</v>
      </c>
      <c r="D33" s="18" t="s">
        <v>743</v>
      </c>
      <c r="E33" s="18" t="s">
        <v>11</v>
      </c>
      <c r="F33" s="18" t="s">
        <v>628</v>
      </c>
      <c r="G33" s="18" t="s">
        <v>629</v>
      </c>
      <c r="H33" s="22" t="s">
        <v>744</v>
      </c>
    </row>
    <row r="34" spans="1:8" ht="15.5" x14ac:dyDescent="0.35">
      <c r="A34" s="18" t="s">
        <v>745</v>
      </c>
      <c r="B34" s="18" t="s">
        <v>746</v>
      </c>
      <c r="C34" s="18" t="s">
        <v>747</v>
      </c>
      <c r="D34" s="18"/>
      <c r="E34" s="18" t="s">
        <v>11</v>
      </c>
      <c r="F34" s="18" t="s">
        <v>628</v>
      </c>
      <c r="G34" s="18" t="s">
        <v>629</v>
      </c>
      <c r="H34" s="22" t="s">
        <v>748</v>
      </c>
    </row>
    <row r="35" spans="1:8" ht="15.5" x14ac:dyDescent="0.35">
      <c r="A35" s="18" t="s">
        <v>749</v>
      </c>
      <c r="B35" s="18" t="s">
        <v>750</v>
      </c>
      <c r="C35" s="18" t="s">
        <v>751</v>
      </c>
      <c r="D35" s="18"/>
      <c r="E35" s="18" t="s">
        <v>11</v>
      </c>
      <c r="F35" s="18" t="s">
        <v>752</v>
      </c>
      <c r="G35" s="18" t="s">
        <v>629</v>
      </c>
      <c r="H35" s="22" t="s">
        <v>753</v>
      </c>
    </row>
    <row r="36" spans="1:8" ht="15.5" x14ac:dyDescent="0.35">
      <c r="A36" s="18" t="s">
        <v>754</v>
      </c>
      <c r="B36" s="18" t="s">
        <v>750</v>
      </c>
      <c r="C36" s="18" t="s">
        <v>755</v>
      </c>
      <c r="D36" s="18"/>
      <c r="E36" s="18" t="s">
        <v>11</v>
      </c>
      <c r="F36" s="18" t="s">
        <v>752</v>
      </c>
      <c r="G36" s="18" t="s">
        <v>629</v>
      </c>
      <c r="H36" s="22" t="s">
        <v>756</v>
      </c>
    </row>
    <row r="37" spans="1:8" ht="15.5" x14ac:dyDescent="0.35">
      <c r="A37" s="18" t="s">
        <v>757</v>
      </c>
      <c r="B37" s="18" t="s">
        <v>750</v>
      </c>
      <c r="C37" s="18" t="s">
        <v>758</v>
      </c>
      <c r="D37" s="18"/>
      <c r="E37" s="18" t="s">
        <v>11</v>
      </c>
      <c r="F37" s="18" t="s">
        <v>752</v>
      </c>
      <c r="G37" s="18" t="s">
        <v>629</v>
      </c>
      <c r="H37" s="22" t="s">
        <v>759</v>
      </c>
    </row>
    <row r="38" spans="1:8" ht="15.5" x14ac:dyDescent="0.35">
      <c r="A38" s="18" t="s">
        <v>760</v>
      </c>
      <c r="B38" s="18" t="s">
        <v>750</v>
      </c>
      <c r="C38" s="18" t="s">
        <v>761</v>
      </c>
      <c r="D38" s="18"/>
      <c r="E38" s="18" t="s">
        <v>11</v>
      </c>
      <c r="F38" s="18" t="s">
        <v>752</v>
      </c>
      <c r="G38" s="18" t="s">
        <v>629</v>
      </c>
      <c r="H38" s="22" t="s">
        <v>762</v>
      </c>
    </row>
    <row r="39" spans="1:8" ht="15.5" x14ac:dyDescent="0.35">
      <c r="A39" s="18" t="s">
        <v>763</v>
      </c>
      <c r="B39" s="18" t="s">
        <v>750</v>
      </c>
      <c r="C39" s="18" t="s">
        <v>764</v>
      </c>
      <c r="D39" s="18"/>
      <c r="E39" s="18" t="s">
        <v>11</v>
      </c>
      <c r="F39" s="18" t="s">
        <v>752</v>
      </c>
      <c r="G39" s="18" t="s">
        <v>629</v>
      </c>
      <c r="H39" s="22" t="s">
        <v>765</v>
      </c>
    </row>
    <row r="40" spans="1:8" ht="15.5" x14ac:dyDescent="0.35">
      <c r="A40" s="18" t="s">
        <v>766</v>
      </c>
      <c r="B40" s="18" t="s">
        <v>750</v>
      </c>
      <c r="C40" s="18" t="s">
        <v>767</v>
      </c>
      <c r="D40" s="18"/>
      <c r="E40" s="18" t="s">
        <v>11</v>
      </c>
      <c r="F40" s="18" t="s">
        <v>752</v>
      </c>
      <c r="G40" s="18" t="s">
        <v>629</v>
      </c>
      <c r="H40" s="22" t="s">
        <v>768</v>
      </c>
    </row>
    <row r="41" spans="1:8" x14ac:dyDescent="0.35">
      <c r="A41" s="4" t="s">
        <v>769</v>
      </c>
      <c r="B41" s="4" t="s">
        <v>770</v>
      </c>
      <c r="C41" s="4" t="s">
        <v>771</v>
      </c>
      <c r="D41" s="4" t="s">
        <v>11</v>
      </c>
      <c r="E41" s="4" t="s">
        <v>11</v>
      </c>
      <c r="F41" s="4" t="s">
        <v>772</v>
      </c>
      <c r="G41" s="4" t="s">
        <v>679</v>
      </c>
      <c r="H41" s="4"/>
    </row>
  </sheetData>
  <autoFilter ref="A4:H41" xr:uid="{00000000-0009-0000-0000-000006000000}"/>
  <hyperlinks>
    <hyperlink ref="H5" r:id="rId1" xr:uid="{00000000-0004-0000-0600-000000000000}"/>
    <hyperlink ref="H6" r:id="rId2" xr:uid="{00000000-0004-0000-0600-000001000000}"/>
    <hyperlink ref="H7" r:id="rId3" xr:uid="{00000000-0004-0000-0600-000002000000}"/>
    <hyperlink ref="H8" r:id="rId4" xr:uid="{00000000-0004-0000-0600-000003000000}"/>
    <hyperlink ref="H9" r:id="rId5" xr:uid="{00000000-0004-0000-0600-000004000000}"/>
    <hyperlink ref="H10" r:id="rId6" xr:uid="{00000000-0004-0000-0600-000005000000}"/>
    <hyperlink ref="H11" r:id="rId7" xr:uid="{00000000-0004-0000-0600-000006000000}"/>
    <hyperlink ref="H12" r:id="rId8" xr:uid="{00000000-0004-0000-0600-000007000000}"/>
    <hyperlink ref="H13" r:id="rId9" xr:uid="{00000000-0004-0000-0600-000008000000}"/>
    <hyperlink ref="H14" r:id="rId10" xr:uid="{00000000-0004-0000-0600-000009000000}"/>
    <hyperlink ref="H15" r:id="rId11" xr:uid="{00000000-0004-0000-0600-00000A000000}"/>
    <hyperlink ref="H16" r:id="rId12" xr:uid="{00000000-0004-0000-0600-00000B000000}"/>
    <hyperlink ref="H17" r:id="rId13" xr:uid="{00000000-0004-0000-0600-00000C000000}"/>
    <hyperlink ref="H18" r:id="rId14" xr:uid="{00000000-0004-0000-0600-00000D000000}"/>
    <hyperlink ref="H19" r:id="rId15" xr:uid="{00000000-0004-0000-0600-00000E000000}"/>
    <hyperlink ref="H20" r:id="rId16" xr:uid="{00000000-0004-0000-0600-00000F000000}"/>
    <hyperlink ref="H21" r:id="rId17" xr:uid="{00000000-0004-0000-0600-000010000000}"/>
    <hyperlink ref="H22" r:id="rId18" xr:uid="{00000000-0004-0000-0600-000011000000}"/>
    <hyperlink ref="H23" r:id="rId19" xr:uid="{00000000-0004-0000-0600-000012000000}"/>
    <hyperlink ref="H24" r:id="rId20" xr:uid="{00000000-0004-0000-0600-000013000000}"/>
    <hyperlink ref="H25" r:id="rId21" xr:uid="{00000000-0004-0000-0600-000014000000}"/>
    <hyperlink ref="H26" r:id="rId22" xr:uid="{00000000-0004-0000-0600-000015000000}"/>
    <hyperlink ref="H27" r:id="rId23" xr:uid="{00000000-0004-0000-0600-000016000000}"/>
    <hyperlink ref="H28" r:id="rId24" xr:uid="{00000000-0004-0000-0600-000017000000}"/>
    <hyperlink ref="H29" r:id="rId25" xr:uid="{00000000-0004-0000-0600-000018000000}"/>
    <hyperlink ref="H30" r:id="rId26" xr:uid="{00000000-0004-0000-0600-000019000000}"/>
    <hyperlink ref="H31" r:id="rId27" xr:uid="{00000000-0004-0000-0600-00001A000000}"/>
    <hyperlink ref="H32" r:id="rId28" xr:uid="{00000000-0004-0000-0600-00001B000000}"/>
    <hyperlink ref="H33" r:id="rId29" xr:uid="{00000000-0004-0000-0600-00001C000000}"/>
    <hyperlink ref="H34" r:id="rId30" xr:uid="{00000000-0004-0000-0600-00001D000000}"/>
    <hyperlink ref="H35" r:id="rId31" xr:uid="{00000000-0004-0000-0600-00001E000000}"/>
    <hyperlink ref="H36" r:id="rId32" xr:uid="{00000000-0004-0000-0600-00001F000000}"/>
    <hyperlink ref="H37" r:id="rId33" xr:uid="{00000000-0004-0000-0600-000020000000}"/>
    <hyperlink ref="H38" r:id="rId34" xr:uid="{00000000-0004-0000-0600-000021000000}"/>
    <hyperlink ref="H39" r:id="rId35" xr:uid="{00000000-0004-0000-0600-000022000000}"/>
    <hyperlink ref="H40" r:id="rId36" xr:uid="{00000000-0004-0000-0600-000023000000}"/>
  </hyperlinks>
  <pageMargins left="0.75" right="0.75" top="1" bottom="1" header="0.5" footer="0.5"/>
  <pageSetup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61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2" width="22" customWidth="1"/>
    <col min="3" max="3" width="48" customWidth="1"/>
    <col min="4" max="4" width="70" customWidth="1"/>
    <col min="5" max="5" width="16" customWidth="1"/>
    <col min="6" max="6" width="14" customWidth="1"/>
    <col min="7" max="7" width="22" customWidth="1"/>
    <col min="8" max="8" width="18" customWidth="1"/>
    <col min="9" max="9" width="70" customWidth="1"/>
  </cols>
  <sheetData>
    <row r="1" spans="1:9" ht="25" x14ac:dyDescent="0.5">
      <c r="A1" s="1" t="s">
        <v>773</v>
      </c>
    </row>
    <row r="2" spans="1:9" x14ac:dyDescent="0.35">
      <c r="A2" s="2" t="s">
        <v>774</v>
      </c>
    </row>
    <row r="4" spans="1:9" ht="22" customHeight="1" x14ac:dyDescent="0.35">
      <c r="A4" s="3" t="s">
        <v>619</v>
      </c>
      <c r="B4" s="3" t="s">
        <v>620</v>
      </c>
      <c r="C4" s="3" t="s">
        <v>621</v>
      </c>
      <c r="D4" s="3" t="s">
        <v>775</v>
      </c>
      <c r="E4" s="3" t="s">
        <v>622</v>
      </c>
      <c r="F4" s="3" t="s">
        <v>623</v>
      </c>
      <c r="G4" s="3" t="s">
        <v>624</v>
      </c>
      <c r="H4" s="3" t="s">
        <v>594</v>
      </c>
      <c r="I4" s="3" t="s">
        <v>625</v>
      </c>
    </row>
    <row r="5" spans="1:9" ht="15.5" x14ac:dyDescent="0.35">
      <c r="A5" s="18" t="s">
        <v>626</v>
      </c>
      <c r="B5" s="18" t="s">
        <v>7</v>
      </c>
      <c r="C5" s="18" t="s">
        <v>627</v>
      </c>
      <c r="D5" s="18" t="s">
        <v>776</v>
      </c>
      <c r="E5" s="18" t="s">
        <v>30</v>
      </c>
      <c r="F5" s="18" t="s">
        <v>11</v>
      </c>
      <c r="G5" s="18" t="s">
        <v>628</v>
      </c>
      <c r="H5" s="18" t="s">
        <v>629</v>
      </c>
      <c r="I5" s="24" t="s">
        <v>630</v>
      </c>
    </row>
    <row r="6" spans="1:9" ht="15.5" x14ac:dyDescent="0.35">
      <c r="A6" s="18" t="s">
        <v>626</v>
      </c>
      <c r="B6" s="18" t="s">
        <v>7</v>
      </c>
      <c r="C6" s="18" t="s">
        <v>627</v>
      </c>
      <c r="D6" s="18" t="s">
        <v>777</v>
      </c>
      <c r="E6" s="18" t="s">
        <v>30</v>
      </c>
      <c r="F6" s="18" t="s">
        <v>11</v>
      </c>
      <c r="G6" s="18" t="s">
        <v>628</v>
      </c>
      <c r="H6" s="18" t="s">
        <v>629</v>
      </c>
      <c r="I6" s="24" t="s">
        <v>630</v>
      </c>
    </row>
    <row r="7" spans="1:9" ht="15.5" x14ac:dyDescent="0.35">
      <c r="A7" s="18" t="s">
        <v>626</v>
      </c>
      <c r="B7" s="18" t="s">
        <v>7</v>
      </c>
      <c r="C7" s="18" t="s">
        <v>627</v>
      </c>
      <c r="D7" s="18" t="s">
        <v>778</v>
      </c>
      <c r="E7" s="18" t="s">
        <v>30</v>
      </c>
      <c r="F7" s="18" t="s">
        <v>11</v>
      </c>
      <c r="G7" s="18" t="s">
        <v>628</v>
      </c>
      <c r="H7" s="18" t="s">
        <v>629</v>
      </c>
      <c r="I7" s="24" t="s">
        <v>630</v>
      </c>
    </row>
    <row r="8" spans="1:9" ht="15.5" x14ac:dyDescent="0.35">
      <c r="A8" s="18" t="s">
        <v>626</v>
      </c>
      <c r="B8" s="18" t="s">
        <v>7</v>
      </c>
      <c r="C8" s="18" t="s">
        <v>627</v>
      </c>
      <c r="D8" s="18" t="s">
        <v>779</v>
      </c>
      <c r="E8" s="18" t="s">
        <v>30</v>
      </c>
      <c r="F8" s="18" t="s">
        <v>11</v>
      </c>
      <c r="G8" s="18" t="s">
        <v>628</v>
      </c>
      <c r="H8" s="18" t="s">
        <v>629</v>
      </c>
      <c r="I8" s="24" t="s">
        <v>630</v>
      </c>
    </row>
    <row r="9" spans="1:9" ht="15.5" x14ac:dyDescent="0.35">
      <c r="A9" s="18" t="s">
        <v>626</v>
      </c>
      <c r="B9" s="18" t="s">
        <v>7</v>
      </c>
      <c r="C9" s="18" t="s">
        <v>627</v>
      </c>
      <c r="D9" s="18" t="s">
        <v>780</v>
      </c>
      <c r="E9" s="18" t="s">
        <v>30</v>
      </c>
      <c r="F9" s="18" t="s">
        <v>11</v>
      </c>
      <c r="G9" s="18" t="s">
        <v>628</v>
      </c>
      <c r="H9" s="18" t="s">
        <v>629</v>
      </c>
      <c r="I9" s="24" t="s">
        <v>630</v>
      </c>
    </row>
    <row r="10" spans="1:9" ht="15.5" x14ac:dyDescent="0.35">
      <c r="A10" s="18" t="s">
        <v>626</v>
      </c>
      <c r="B10" s="18" t="s">
        <v>7</v>
      </c>
      <c r="C10" s="18" t="s">
        <v>627</v>
      </c>
      <c r="D10" s="18" t="s">
        <v>781</v>
      </c>
      <c r="E10" s="18" t="s">
        <v>30</v>
      </c>
      <c r="F10" s="18" t="s">
        <v>11</v>
      </c>
      <c r="G10" s="18" t="s">
        <v>628</v>
      </c>
      <c r="H10" s="18" t="s">
        <v>629</v>
      </c>
      <c r="I10" s="24" t="s">
        <v>630</v>
      </c>
    </row>
    <row r="11" spans="1:9" ht="15.5" x14ac:dyDescent="0.35">
      <c r="A11" s="18" t="s">
        <v>631</v>
      </c>
      <c r="B11" s="18" t="s">
        <v>7</v>
      </c>
      <c r="C11" s="18" t="s">
        <v>632</v>
      </c>
      <c r="D11" s="18" t="s">
        <v>782</v>
      </c>
      <c r="E11" s="18" t="s">
        <v>633</v>
      </c>
      <c r="F11" s="18" t="s">
        <v>11</v>
      </c>
      <c r="G11" s="18" t="s">
        <v>628</v>
      </c>
      <c r="H11" s="18" t="s">
        <v>629</v>
      </c>
      <c r="I11" s="24" t="s">
        <v>634</v>
      </c>
    </row>
    <row r="12" spans="1:9" ht="15.5" x14ac:dyDescent="0.35">
      <c r="A12" s="18" t="s">
        <v>635</v>
      </c>
      <c r="B12" s="18" t="s">
        <v>7</v>
      </c>
      <c r="C12" s="18" t="s">
        <v>636</v>
      </c>
      <c r="D12" s="18" t="s">
        <v>781</v>
      </c>
      <c r="E12" s="18" t="s">
        <v>30</v>
      </c>
      <c r="F12" s="18" t="s">
        <v>11</v>
      </c>
      <c r="G12" s="18" t="s">
        <v>628</v>
      </c>
      <c r="H12" s="18" t="s">
        <v>629</v>
      </c>
      <c r="I12" s="24" t="s">
        <v>637</v>
      </c>
    </row>
    <row r="13" spans="1:9" ht="15.5" x14ac:dyDescent="0.35">
      <c r="A13" s="18" t="s">
        <v>635</v>
      </c>
      <c r="B13" s="18" t="s">
        <v>7</v>
      </c>
      <c r="C13" s="18" t="s">
        <v>636</v>
      </c>
      <c r="D13" s="18" t="s">
        <v>783</v>
      </c>
      <c r="E13" s="18" t="s">
        <v>30</v>
      </c>
      <c r="F13" s="18" t="s">
        <v>11</v>
      </c>
      <c r="G13" s="18" t="s">
        <v>628</v>
      </c>
      <c r="H13" s="18" t="s">
        <v>629</v>
      </c>
      <c r="I13" s="24" t="s">
        <v>637</v>
      </c>
    </row>
    <row r="14" spans="1:9" ht="15.5" x14ac:dyDescent="0.35">
      <c r="A14" s="18" t="s">
        <v>635</v>
      </c>
      <c r="B14" s="18" t="s">
        <v>7</v>
      </c>
      <c r="C14" s="18" t="s">
        <v>636</v>
      </c>
      <c r="D14" s="18" t="s">
        <v>784</v>
      </c>
      <c r="E14" s="18" t="s">
        <v>30</v>
      </c>
      <c r="F14" s="18" t="s">
        <v>11</v>
      </c>
      <c r="G14" s="18" t="s">
        <v>628</v>
      </c>
      <c r="H14" s="18" t="s">
        <v>629</v>
      </c>
      <c r="I14" s="24" t="s">
        <v>637</v>
      </c>
    </row>
    <row r="15" spans="1:9" ht="15.5" x14ac:dyDescent="0.35">
      <c r="A15" s="18" t="s">
        <v>638</v>
      </c>
      <c r="B15" s="18" t="s">
        <v>7</v>
      </c>
      <c r="C15" s="18" t="s">
        <v>639</v>
      </c>
      <c r="D15" s="18" t="s">
        <v>785</v>
      </c>
      <c r="E15" s="18"/>
      <c r="F15" s="18" t="s">
        <v>11</v>
      </c>
      <c r="G15" s="18" t="s">
        <v>628</v>
      </c>
      <c r="H15" s="18" t="s">
        <v>629</v>
      </c>
      <c r="I15" s="24" t="s">
        <v>640</v>
      </c>
    </row>
    <row r="16" spans="1:9" ht="15.5" x14ac:dyDescent="0.35">
      <c r="A16" s="18" t="s">
        <v>641</v>
      </c>
      <c r="B16" s="18" t="s">
        <v>7</v>
      </c>
      <c r="C16" s="18" t="s">
        <v>627</v>
      </c>
      <c r="D16" s="18" t="s">
        <v>786</v>
      </c>
      <c r="E16" s="18" t="s">
        <v>30</v>
      </c>
      <c r="F16" s="18" t="s">
        <v>11</v>
      </c>
      <c r="G16" s="18" t="s">
        <v>628</v>
      </c>
      <c r="H16" s="18" t="s">
        <v>629</v>
      </c>
      <c r="I16" s="24" t="s">
        <v>630</v>
      </c>
    </row>
    <row r="17" spans="1:9" ht="23" x14ac:dyDescent="0.35">
      <c r="A17" s="18" t="s">
        <v>641</v>
      </c>
      <c r="B17" s="18" t="s">
        <v>7</v>
      </c>
      <c r="C17" s="18" t="s">
        <v>627</v>
      </c>
      <c r="D17" s="18" t="s">
        <v>787</v>
      </c>
      <c r="E17" s="18" t="s">
        <v>30</v>
      </c>
      <c r="F17" s="18" t="s">
        <v>11</v>
      </c>
      <c r="G17" s="18" t="s">
        <v>628</v>
      </c>
      <c r="H17" s="18" t="s">
        <v>629</v>
      </c>
      <c r="I17" s="24" t="s">
        <v>630</v>
      </c>
    </row>
    <row r="18" spans="1:9" ht="15.5" x14ac:dyDescent="0.35">
      <c r="A18" s="18" t="s">
        <v>641</v>
      </c>
      <c r="B18" s="18" t="s">
        <v>7</v>
      </c>
      <c r="C18" s="18" t="s">
        <v>627</v>
      </c>
      <c r="D18" s="18" t="s">
        <v>788</v>
      </c>
      <c r="E18" s="18" t="s">
        <v>30</v>
      </c>
      <c r="F18" s="18" t="s">
        <v>11</v>
      </c>
      <c r="G18" s="18" t="s">
        <v>628</v>
      </c>
      <c r="H18" s="18" t="s">
        <v>629</v>
      </c>
      <c r="I18" s="24" t="s">
        <v>630</v>
      </c>
    </row>
    <row r="19" spans="1:9" ht="15.5" x14ac:dyDescent="0.35">
      <c r="A19" s="18" t="s">
        <v>642</v>
      </c>
      <c r="B19" s="18" t="s">
        <v>7</v>
      </c>
      <c r="C19" s="18" t="s">
        <v>639</v>
      </c>
      <c r="D19" s="18" t="s">
        <v>789</v>
      </c>
      <c r="E19" s="18"/>
      <c r="F19" s="18" t="s">
        <v>11</v>
      </c>
      <c r="G19" s="18" t="s">
        <v>628</v>
      </c>
      <c r="H19" s="18" t="s">
        <v>629</v>
      </c>
      <c r="I19" s="24" t="s">
        <v>643</v>
      </c>
    </row>
    <row r="20" spans="1:9" ht="15.5" x14ac:dyDescent="0.35">
      <c r="A20" s="18" t="s">
        <v>642</v>
      </c>
      <c r="B20" s="18" t="s">
        <v>7</v>
      </c>
      <c r="C20" s="18" t="s">
        <v>639</v>
      </c>
      <c r="D20" s="18" t="s">
        <v>790</v>
      </c>
      <c r="E20" s="18"/>
      <c r="F20" s="18" t="s">
        <v>11</v>
      </c>
      <c r="G20" s="18" t="s">
        <v>628</v>
      </c>
      <c r="H20" s="18" t="s">
        <v>629</v>
      </c>
      <c r="I20" s="24" t="s">
        <v>643</v>
      </c>
    </row>
    <row r="21" spans="1:9" ht="15.5" x14ac:dyDescent="0.35">
      <c r="A21" s="18" t="s">
        <v>642</v>
      </c>
      <c r="B21" s="18" t="s">
        <v>7</v>
      </c>
      <c r="C21" s="18" t="s">
        <v>639</v>
      </c>
      <c r="D21" s="18" t="s">
        <v>791</v>
      </c>
      <c r="E21" s="18"/>
      <c r="F21" s="18" t="s">
        <v>11</v>
      </c>
      <c r="G21" s="18" t="s">
        <v>628</v>
      </c>
      <c r="H21" s="18" t="s">
        <v>629</v>
      </c>
      <c r="I21" s="24" t="s">
        <v>643</v>
      </c>
    </row>
    <row r="22" spans="1:9" ht="15.5" x14ac:dyDescent="0.35">
      <c r="A22" s="18" t="s">
        <v>642</v>
      </c>
      <c r="B22" s="18" t="s">
        <v>7</v>
      </c>
      <c r="C22" s="18" t="s">
        <v>639</v>
      </c>
      <c r="D22" s="18" t="s">
        <v>792</v>
      </c>
      <c r="E22" s="18"/>
      <c r="F22" s="18" t="s">
        <v>11</v>
      </c>
      <c r="G22" s="18" t="s">
        <v>628</v>
      </c>
      <c r="H22" s="18" t="s">
        <v>629</v>
      </c>
      <c r="I22" s="24" t="s">
        <v>643</v>
      </c>
    </row>
    <row r="23" spans="1:9" ht="15.5" x14ac:dyDescent="0.35">
      <c r="A23" s="18" t="s">
        <v>644</v>
      </c>
      <c r="B23" s="18" t="s">
        <v>7</v>
      </c>
      <c r="C23" s="18" t="s">
        <v>645</v>
      </c>
      <c r="D23" s="18" t="s">
        <v>793</v>
      </c>
      <c r="E23" s="18"/>
      <c r="F23" s="18" t="s">
        <v>11</v>
      </c>
      <c r="G23" s="18" t="s">
        <v>628</v>
      </c>
      <c r="H23" s="18" t="s">
        <v>629</v>
      </c>
      <c r="I23" s="24" t="s">
        <v>646</v>
      </c>
    </row>
    <row r="24" spans="1:9" ht="15.5" x14ac:dyDescent="0.35">
      <c r="A24" s="18" t="s">
        <v>644</v>
      </c>
      <c r="B24" s="18" t="s">
        <v>7</v>
      </c>
      <c r="C24" s="18" t="s">
        <v>645</v>
      </c>
      <c r="D24" s="18" t="s">
        <v>794</v>
      </c>
      <c r="E24" s="18"/>
      <c r="F24" s="18" t="s">
        <v>11</v>
      </c>
      <c r="G24" s="18" t="s">
        <v>628</v>
      </c>
      <c r="H24" s="18" t="s">
        <v>629</v>
      </c>
      <c r="I24" s="24" t="s">
        <v>646</v>
      </c>
    </row>
    <row r="25" spans="1:9" ht="15.5" x14ac:dyDescent="0.35">
      <c r="A25" s="18" t="s">
        <v>644</v>
      </c>
      <c r="B25" s="18" t="s">
        <v>7</v>
      </c>
      <c r="C25" s="18" t="s">
        <v>645</v>
      </c>
      <c r="D25" s="18" t="s">
        <v>795</v>
      </c>
      <c r="E25" s="18"/>
      <c r="F25" s="18" t="s">
        <v>11</v>
      </c>
      <c r="G25" s="18" t="s">
        <v>628</v>
      </c>
      <c r="H25" s="18" t="s">
        <v>629</v>
      </c>
      <c r="I25" s="24" t="s">
        <v>646</v>
      </c>
    </row>
    <row r="26" spans="1:9" ht="15.5" x14ac:dyDescent="0.35">
      <c r="A26" s="18" t="s">
        <v>644</v>
      </c>
      <c r="B26" s="18" t="s">
        <v>7</v>
      </c>
      <c r="C26" s="18" t="s">
        <v>645</v>
      </c>
      <c r="D26" s="18" t="s">
        <v>796</v>
      </c>
      <c r="E26" s="18"/>
      <c r="F26" s="18" t="s">
        <v>11</v>
      </c>
      <c r="G26" s="18" t="s">
        <v>628</v>
      </c>
      <c r="H26" s="18" t="s">
        <v>629</v>
      </c>
      <c r="I26" s="24" t="s">
        <v>646</v>
      </c>
    </row>
    <row r="27" spans="1:9" ht="15.5" x14ac:dyDescent="0.35">
      <c r="A27" s="18" t="s">
        <v>647</v>
      </c>
      <c r="B27" s="18" t="s">
        <v>7</v>
      </c>
      <c r="C27" s="18" t="s">
        <v>648</v>
      </c>
      <c r="D27" s="18" t="s">
        <v>797</v>
      </c>
      <c r="E27" s="18" t="s">
        <v>649</v>
      </c>
      <c r="F27" s="18" t="s">
        <v>11</v>
      </c>
      <c r="G27" s="18" t="s">
        <v>628</v>
      </c>
      <c r="H27" s="18" t="s">
        <v>629</v>
      </c>
      <c r="I27" s="24" t="s">
        <v>650</v>
      </c>
    </row>
    <row r="28" spans="1:9" ht="15.5" x14ac:dyDescent="0.35">
      <c r="A28" s="18" t="s">
        <v>647</v>
      </c>
      <c r="B28" s="18" t="s">
        <v>7</v>
      </c>
      <c r="C28" s="18" t="s">
        <v>648</v>
      </c>
      <c r="D28" s="18" t="s">
        <v>798</v>
      </c>
      <c r="E28" s="18" t="s">
        <v>649</v>
      </c>
      <c r="F28" s="18" t="s">
        <v>11</v>
      </c>
      <c r="G28" s="18" t="s">
        <v>628</v>
      </c>
      <c r="H28" s="18" t="s">
        <v>629</v>
      </c>
      <c r="I28" s="24" t="s">
        <v>650</v>
      </c>
    </row>
    <row r="29" spans="1:9" ht="15.5" x14ac:dyDescent="0.35">
      <c r="A29" s="18" t="s">
        <v>651</v>
      </c>
      <c r="B29" s="18" t="s">
        <v>7</v>
      </c>
      <c r="C29" s="18" t="s">
        <v>652</v>
      </c>
      <c r="D29" s="18" t="s">
        <v>799</v>
      </c>
      <c r="E29" s="18"/>
      <c r="F29" s="18" t="s">
        <v>11</v>
      </c>
      <c r="G29" s="18" t="s">
        <v>628</v>
      </c>
      <c r="H29" s="18" t="s">
        <v>629</v>
      </c>
      <c r="I29" s="24" t="s">
        <v>653</v>
      </c>
    </row>
    <row r="30" spans="1:9" ht="15.5" x14ac:dyDescent="0.35">
      <c r="A30" s="18" t="s">
        <v>654</v>
      </c>
      <c r="B30" s="18" t="s">
        <v>7</v>
      </c>
      <c r="C30" s="18" t="s">
        <v>655</v>
      </c>
      <c r="D30" s="18" t="s">
        <v>800</v>
      </c>
      <c r="E30" s="18"/>
      <c r="F30" s="18" t="s">
        <v>11</v>
      </c>
      <c r="G30" s="18" t="s">
        <v>628</v>
      </c>
      <c r="H30" s="18" t="s">
        <v>629</v>
      </c>
      <c r="I30" s="24" t="s">
        <v>656</v>
      </c>
    </row>
    <row r="31" spans="1:9" ht="15.5" x14ac:dyDescent="0.35">
      <c r="A31" s="18" t="s">
        <v>654</v>
      </c>
      <c r="B31" s="18" t="s">
        <v>7</v>
      </c>
      <c r="C31" s="18" t="s">
        <v>655</v>
      </c>
      <c r="D31" s="18" t="s">
        <v>801</v>
      </c>
      <c r="E31" s="18"/>
      <c r="F31" s="18" t="s">
        <v>11</v>
      </c>
      <c r="G31" s="18" t="s">
        <v>628</v>
      </c>
      <c r="H31" s="18" t="s">
        <v>629</v>
      </c>
      <c r="I31" s="24" t="s">
        <v>656</v>
      </c>
    </row>
    <row r="32" spans="1:9" ht="15.5" x14ac:dyDescent="0.35">
      <c r="A32" s="18" t="s">
        <v>657</v>
      </c>
      <c r="B32" s="18" t="s">
        <v>7</v>
      </c>
      <c r="C32" s="18" t="s">
        <v>658</v>
      </c>
      <c r="D32" s="18" t="s">
        <v>802</v>
      </c>
      <c r="E32" s="18"/>
      <c r="F32" s="18" t="s">
        <v>11</v>
      </c>
      <c r="G32" s="18" t="s">
        <v>628</v>
      </c>
      <c r="H32" s="18" t="s">
        <v>629</v>
      </c>
      <c r="I32" s="24" t="s">
        <v>659</v>
      </c>
    </row>
    <row r="33" spans="1:9" ht="15.5" x14ac:dyDescent="0.35">
      <c r="A33" s="18" t="s">
        <v>660</v>
      </c>
      <c r="B33" s="18" t="s">
        <v>7</v>
      </c>
      <c r="C33" s="18" t="s">
        <v>661</v>
      </c>
      <c r="D33" s="18" t="s">
        <v>803</v>
      </c>
      <c r="E33" s="18"/>
      <c r="F33" s="18" t="s">
        <v>11</v>
      </c>
      <c r="G33" s="18" t="s">
        <v>628</v>
      </c>
      <c r="H33" s="18" t="s">
        <v>629</v>
      </c>
      <c r="I33" s="24" t="s">
        <v>662</v>
      </c>
    </row>
    <row r="34" spans="1:9" ht="15.5" x14ac:dyDescent="0.35">
      <c r="A34" s="18" t="s">
        <v>663</v>
      </c>
      <c r="B34" s="18" t="s">
        <v>7</v>
      </c>
      <c r="C34" s="18" t="s">
        <v>664</v>
      </c>
      <c r="D34" s="18" t="s">
        <v>804</v>
      </c>
      <c r="E34" s="18" t="s">
        <v>665</v>
      </c>
      <c r="F34" s="18" t="s">
        <v>11</v>
      </c>
      <c r="G34" s="18" t="s">
        <v>628</v>
      </c>
      <c r="H34" s="18" t="s">
        <v>629</v>
      </c>
      <c r="I34" s="24" t="s">
        <v>666</v>
      </c>
    </row>
    <row r="35" spans="1:9" ht="15.5" x14ac:dyDescent="0.35">
      <c r="A35" s="18" t="s">
        <v>667</v>
      </c>
      <c r="B35" s="18" t="s">
        <v>7</v>
      </c>
      <c r="C35" s="18" t="s">
        <v>668</v>
      </c>
      <c r="D35" s="18" t="s">
        <v>805</v>
      </c>
      <c r="E35" s="18"/>
      <c r="F35" s="18" t="s">
        <v>11</v>
      </c>
      <c r="G35" s="18" t="s">
        <v>628</v>
      </c>
      <c r="H35" s="18" t="s">
        <v>629</v>
      </c>
      <c r="I35" s="24" t="s">
        <v>669</v>
      </c>
    </row>
    <row r="36" spans="1:9" ht="15.5" x14ac:dyDescent="0.35">
      <c r="A36" s="18" t="s">
        <v>670</v>
      </c>
      <c r="B36" s="18" t="s">
        <v>671</v>
      </c>
      <c r="C36" s="18" t="s">
        <v>672</v>
      </c>
      <c r="D36" s="18" t="s">
        <v>806</v>
      </c>
      <c r="E36" s="18" t="s">
        <v>30</v>
      </c>
      <c r="F36" s="18" t="s">
        <v>11</v>
      </c>
      <c r="G36" s="18" t="s">
        <v>673</v>
      </c>
      <c r="H36" s="18" t="s">
        <v>629</v>
      </c>
      <c r="I36" s="24" t="s">
        <v>674</v>
      </c>
    </row>
    <row r="37" spans="1:9" ht="15.5" x14ac:dyDescent="0.35">
      <c r="A37" s="4" t="s">
        <v>675</v>
      </c>
      <c r="B37" s="4" t="s">
        <v>676</v>
      </c>
      <c r="C37" s="4" t="s">
        <v>677</v>
      </c>
      <c r="D37" s="4" t="s">
        <v>807</v>
      </c>
      <c r="E37" s="4"/>
      <c r="F37" s="4" t="s">
        <v>11</v>
      </c>
      <c r="G37" s="4" t="s">
        <v>678</v>
      </c>
      <c r="H37" s="4" t="s">
        <v>679</v>
      </c>
      <c r="I37" s="24" t="s">
        <v>680</v>
      </c>
    </row>
    <row r="38" spans="1:9" ht="23" x14ac:dyDescent="0.35">
      <c r="A38" s="18" t="s">
        <v>681</v>
      </c>
      <c r="B38" s="18" t="s">
        <v>682</v>
      </c>
      <c r="C38" s="18" t="s">
        <v>683</v>
      </c>
      <c r="D38" s="18" t="s">
        <v>808</v>
      </c>
      <c r="E38" s="18" t="s">
        <v>684</v>
      </c>
      <c r="F38" s="18" t="s">
        <v>11</v>
      </c>
      <c r="G38" s="18" t="s">
        <v>685</v>
      </c>
      <c r="H38" s="18" t="s">
        <v>629</v>
      </c>
      <c r="I38" s="24" t="s">
        <v>686</v>
      </c>
    </row>
    <row r="39" spans="1:9" ht="23" x14ac:dyDescent="0.35">
      <c r="A39" s="18" t="s">
        <v>687</v>
      </c>
      <c r="B39" s="18" t="s">
        <v>688</v>
      </c>
      <c r="C39" s="18" t="s">
        <v>689</v>
      </c>
      <c r="D39" s="18" t="s">
        <v>809</v>
      </c>
      <c r="E39" s="18" t="s">
        <v>690</v>
      </c>
      <c r="F39" s="18" t="s">
        <v>11</v>
      </c>
      <c r="G39" s="18" t="s">
        <v>685</v>
      </c>
      <c r="H39" s="18" t="s">
        <v>629</v>
      </c>
      <c r="I39" s="24" t="s">
        <v>691</v>
      </c>
    </row>
    <row r="40" spans="1:9" ht="15.5" x14ac:dyDescent="0.35">
      <c r="A40" s="18" t="s">
        <v>692</v>
      </c>
      <c r="B40" s="18" t="s">
        <v>693</v>
      </c>
      <c r="C40" s="18" t="s">
        <v>694</v>
      </c>
      <c r="D40" s="18" t="s">
        <v>810</v>
      </c>
      <c r="E40" s="18" t="s">
        <v>695</v>
      </c>
      <c r="F40" s="18" t="s">
        <v>11</v>
      </c>
      <c r="G40" s="18" t="s">
        <v>696</v>
      </c>
      <c r="H40" s="18" t="s">
        <v>629</v>
      </c>
      <c r="I40" s="24" t="s">
        <v>697</v>
      </c>
    </row>
    <row r="41" spans="1:9" ht="15.5" x14ac:dyDescent="0.35">
      <c r="A41" s="18" t="s">
        <v>698</v>
      </c>
      <c r="B41" s="18" t="s">
        <v>693</v>
      </c>
      <c r="C41" s="18" t="s">
        <v>699</v>
      </c>
      <c r="D41" s="18" t="s">
        <v>811</v>
      </c>
      <c r="E41" s="18" t="s">
        <v>695</v>
      </c>
      <c r="F41" s="18" t="s">
        <v>11</v>
      </c>
      <c r="G41" s="18" t="s">
        <v>696</v>
      </c>
      <c r="H41" s="18" t="s">
        <v>629</v>
      </c>
      <c r="I41" s="24" t="s">
        <v>700</v>
      </c>
    </row>
    <row r="42" spans="1:9" ht="15.5" x14ac:dyDescent="0.35">
      <c r="A42" s="18" t="s">
        <v>701</v>
      </c>
      <c r="B42" s="18" t="s">
        <v>702</v>
      </c>
      <c r="C42" s="18" t="s">
        <v>703</v>
      </c>
      <c r="D42" s="18" t="s">
        <v>812</v>
      </c>
      <c r="E42" s="18" t="s">
        <v>704</v>
      </c>
      <c r="F42" s="18" t="s">
        <v>11</v>
      </c>
      <c r="G42" s="18" t="s">
        <v>685</v>
      </c>
      <c r="H42" s="18" t="s">
        <v>629</v>
      </c>
      <c r="I42" s="24" t="s">
        <v>705</v>
      </c>
    </row>
    <row r="43" spans="1:9" ht="23" x14ac:dyDescent="0.35">
      <c r="A43" s="18" t="s">
        <v>706</v>
      </c>
      <c r="B43" s="18" t="s">
        <v>707</v>
      </c>
      <c r="C43" s="18" t="s">
        <v>708</v>
      </c>
      <c r="D43" s="18" t="s">
        <v>813</v>
      </c>
      <c r="E43" s="18" t="s">
        <v>709</v>
      </c>
      <c r="F43" s="18" t="s">
        <v>11</v>
      </c>
      <c r="G43" s="18" t="s">
        <v>696</v>
      </c>
      <c r="H43" s="18" t="s">
        <v>629</v>
      </c>
      <c r="I43" s="24" t="s">
        <v>710</v>
      </c>
    </row>
    <row r="44" spans="1:9" ht="23" x14ac:dyDescent="0.35">
      <c r="A44" s="18" t="s">
        <v>706</v>
      </c>
      <c r="B44" s="18" t="s">
        <v>707</v>
      </c>
      <c r="C44" s="18" t="s">
        <v>708</v>
      </c>
      <c r="D44" s="18" t="s">
        <v>814</v>
      </c>
      <c r="E44" s="18" t="s">
        <v>709</v>
      </c>
      <c r="F44" s="18" t="s">
        <v>11</v>
      </c>
      <c r="G44" s="18" t="s">
        <v>696</v>
      </c>
      <c r="H44" s="18" t="s">
        <v>629</v>
      </c>
      <c r="I44" s="24" t="s">
        <v>710</v>
      </c>
    </row>
    <row r="45" spans="1:9" ht="23" x14ac:dyDescent="0.35">
      <c r="A45" s="18" t="s">
        <v>711</v>
      </c>
      <c r="B45" s="18" t="s">
        <v>707</v>
      </c>
      <c r="C45" s="18" t="s">
        <v>712</v>
      </c>
      <c r="D45" s="18" t="s">
        <v>815</v>
      </c>
      <c r="E45" s="18" t="s">
        <v>713</v>
      </c>
      <c r="F45" s="18" t="s">
        <v>11</v>
      </c>
      <c r="G45" s="18" t="s">
        <v>696</v>
      </c>
      <c r="H45" s="18" t="s">
        <v>629</v>
      </c>
      <c r="I45" s="24" t="s">
        <v>714</v>
      </c>
    </row>
    <row r="46" spans="1:9" ht="15.5" x14ac:dyDescent="0.35">
      <c r="A46" s="18" t="s">
        <v>715</v>
      </c>
      <c r="B46" s="18" t="s">
        <v>716</v>
      </c>
      <c r="C46" s="18" t="s">
        <v>717</v>
      </c>
      <c r="D46" s="18" t="s">
        <v>816</v>
      </c>
      <c r="E46" s="18" t="s">
        <v>718</v>
      </c>
      <c r="F46" s="18" t="s">
        <v>11</v>
      </c>
      <c r="G46" s="18" t="s">
        <v>696</v>
      </c>
      <c r="H46" s="18" t="s">
        <v>629</v>
      </c>
      <c r="I46" s="24" t="s">
        <v>719</v>
      </c>
    </row>
    <row r="47" spans="1:9" ht="15.5" x14ac:dyDescent="0.35">
      <c r="A47" s="18" t="s">
        <v>720</v>
      </c>
      <c r="B47" s="18" t="s">
        <v>721</v>
      </c>
      <c r="C47" s="18" t="s">
        <v>722</v>
      </c>
      <c r="D47" s="18" t="s">
        <v>817</v>
      </c>
      <c r="E47" s="18" t="s">
        <v>723</v>
      </c>
      <c r="F47" s="18" t="s">
        <v>11</v>
      </c>
      <c r="G47" s="18" t="s">
        <v>628</v>
      </c>
      <c r="H47" s="18" t="s">
        <v>629</v>
      </c>
      <c r="I47" s="24" t="s">
        <v>724</v>
      </c>
    </row>
    <row r="48" spans="1:9" ht="15.5" x14ac:dyDescent="0.35">
      <c r="A48" s="18" t="s">
        <v>720</v>
      </c>
      <c r="B48" s="18" t="s">
        <v>721</v>
      </c>
      <c r="C48" s="18" t="s">
        <v>722</v>
      </c>
      <c r="D48" s="18" t="s">
        <v>818</v>
      </c>
      <c r="E48" s="18" t="s">
        <v>723</v>
      </c>
      <c r="F48" s="18" t="s">
        <v>11</v>
      </c>
      <c r="G48" s="18" t="s">
        <v>628</v>
      </c>
      <c r="H48" s="18" t="s">
        <v>629</v>
      </c>
      <c r="I48" s="24" t="s">
        <v>724</v>
      </c>
    </row>
    <row r="49" spans="1:9" ht="23" x14ac:dyDescent="0.35">
      <c r="A49" s="18" t="s">
        <v>725</v>
      </c>
      <c r="B49" s="18" t="s">
        <v>726</v>
      </c>
      <c r="C49" s="18" t="s">
        <v>727</v>
      </c>
      <c r="D49" s="18" t="s">
        <v>819</v>
      </c>
      <c r="E49" s="18" t="s">
        <v>728</v>
      </c>
      <c r="F49" s="18" t="s">
        <v>11</v>
      </c>
      <c r="G49" s="18" t="s">
        <v>628</v>
      </c>
      <c r="H49" s="18" t="s">
        <v>629</v>
      </c>
      <c r="I49" s="24" t="s">
        <v>729</v>
      </c>
    </row>
    <row r="50" spans="1:9" ht="15.5" x14ac:dyDescent="0.35">
      <c r="A50" s="18" t="s">
        <v>730</v>
      </c>
      <c r="B50" s="18" t="s">
        <v>731</v>
      </c>
      <c r="C50" s="18" t="s">
        <v>732</v>
      </c>
      <c r="D50" s="18" t="s">
        <v>820</v>
      </c>
      <c r="E50" s="18" t="s">
        <v>649</v>
      </c>
      <c r="F50" s="18" t="s">
        <v>11</v>
      </c>
      <c r="G50" s="18" t="s">
        <v>628</v>
      </c>
      <c r="H50" s="18" t="s">
        <v>629</v>
      </c>
      <c r="I50" s="24" t="s">
        <v>733</v>
      </c>
    </row>
    <row r="51" spans="1:9" ht="15.5" x14ac:dyDescent="0.35">
      <c r="A51" s="18" t="s">
        <v>730</v>
      </c>
      <c r="B51" s="18" t="s">
        <v>731</v>
      </c>
      <c r="C51" s="18" t="s">
        <v>732</v>
      </c>
      <c r="D51" s="18" t="s">
        <v>821</v>
      </c>
      <c r="E51" s="18" t="s">
        <v>649</v>
      </c>
      <c r="F51" s="18" t="s">
        <v>11</v>
      </c>
      <c r="G51" s="18" t="s">
        <v>628</v>
      </c>
      <c r="H51" s="18" t="s">
        <v>629</v>
      </c>
      <c r="I51" s="24" t="s">
        <v>733</v>
      </c>
    </row>
    <row r="52" spans="1:9" ht="15.5" x14ac:dyDescent="0.35">
      <c r="A52" s="18" t="s">
        <v>734</v>
      </c>
      <c r="B52" s="18" t="s">
        <v>735</v>
      </c>
      <c r="C52" s="18" t="s">
        <v>736</v>
      </c>
      <c r="D52" s="18" t="s">
        <v>822</v>
      </c>
      <c r="E52" s="18" t="s">
        <v>737</v>
      </c>
      <c r="F52" s="18" t="s">
        <v>11</v>
      </c>
      <c r="G52" s="18" t="s">
        <v>738</v>
      </c>
      <c r="H52" s="18" t="s">
        <v>629</v>
      </c>
      <c r="I52" s="24" t="s">
        <v>739</v>
      </c>
    </row>
    <row r="53" spans="1:9" ht="15.5" x14ac:dyDescent="0.35">
      <c r="A53" s="18" t="s">
        <v>740</v>
      </c>
      <c r="B53" s="18" t="s">
        <v>741</v>
      </c>
      <c r="C53" s="18" t="s">
        <v>742</v>
      </c>
      <c r="D53" s="18" t="s">
        <v>823</v>
      </c>
      <c r="E53" s="18" t="s">
        <v>743</v>
      </c>
      <c r="F53" s="18" t="s">
        <v>11</v>
      </c>
      <c r="G53" s="18" t="s">
        <v>628</v>
      </c>
      <c r="H53" s="18" t="s">
        <v>629</v>
      </c>
      <c r="I53" s="24" t="s">
        <v>744</v>
      </c>
    </row>
    <row r="54" spans="1:9" ht="15.5" x14ac:dyDescent="0.35">
      <c r="A54" s="18" t="s">
        <v>745</v>
      </c>
      <c r="B54" s="18" t="s">
        <v>746</v>
      </c>
      <c r="C54" s="18" t="s">
        <v>747</v>
      </c>
      <c r="D54" s="18" t="s">
        <v>824</v>
      </c>
      <c r="E54" s="18"/>
      <c r="F54" s="18" t="s">
        <v>11</v>
      </c>
      <c r="G54" s="18" t="s">
        <v>628</v>
      </c>
      <c r="H54" s="18" t="s">
        <v>629</v>
      </c>
      <c r="I54" s="24" t="s">
        <v>748</v>
      </c>
    </row>
    <row r="55" spans="1:9" ht="15.5" x14ac:dyDescent="0.35">
      <c r="A55" s="18" t="s">
        <v>749</v>
      </c>
      <c r="B55" s="18" t="s">
        <v>750</v>
      </c>
      <c r="C55" s="18" t="s">
        <v>751</v>
      </c>
      <c r="D55" s="18" t="s">
        <v>825</v>
      </c>
      <c r="E55" s="18"/>
      <c r="F55" s="18" t="s">
        <v>11</v>
      </c>
      <c r="G55" s="18" t="s">
        <v>752</v>
      </c>
      <c r="H55" s="18" t="s">
        <v>629</v>
      </c>
      <c r="I55" s="24" t="s">
        <v>753</v>
      </c>
    </row>
    <row r="56" spans="1:9" ht="15.5" x14ac:dyDescent="0.35">
      <c r="A56" s="18" t="s">
        <v>754</v>
      </c>
      <c r="B56" s="18" t="s">
        <v>750</v>
      </c>
      <c r="C56" s="18" t="s">
        <v>755</v>
      </c>
      <c r="D56" s="18" t="s">
        <v>826</v>
      </c>
      <c r="E56" s="18"/>
      <c r="F56" s="18" t="s">
        <v>11</v>
      </c>
      <c r="G56" s="18" t="s">
        <v>752</v>
      </c>
      <c r="H56" s="18" t="s">
        <v>629</v>
      </c>
      <c r="I56" s="24" t="s">
        <v>756</v>
      </c>
    </row>
    <row r="57" spans="1:9" ht="15.5" x14ac:dyDescent="0.35">
      <c r="A57" s="18" t="s">
        <v>757</v>
      </c>
      <c r="B57" s="18" t="s">
        <v>750</v>
      </c>
      <c r="C57" s="18" t="s">
        <v>758</v>
      </c>
      <c r="D57" s="18" t="s">
        <v>827</v>
      </c>
      <c r="E57" s="18"/>
      <c r="F57" s="18" t="s">
        <v>11</v>
      </c>
      <c r="G57" s="18" t="s">
        <v>752</v>
      </c>
      <c r="H57" s="18" t="s">
        <v>629</v>
      </c>
      <c r="I57" s="24" t="s">
        <v>759</v>
      </c>
    </row>
    <row r="58" spans="1:9" ht="15.5" x14ac:dyDescent="0.35">
      <c r="A58" s="18" t="s">
        <v>760</v>
      </c>
      <c r="B58" s="18" t="s">
        <v>750</v>
      </c>
      <c r="C58" s="18" t="s">
        <v>761</v>
      </c>
      <c r="D58" s="18" t="s">
        <v>828</v>
      </c>
      <c r="E58" s="18"/>
      <c r="F58" s="18" t="s">
        <v>11</v>
      </c>
      <c r="G58" s="18" t="s">
        <v>752</v>
      </c>
      <c r="H58" s="18" t="s">
        <v>629</v>
      </c>
      <c r="I58" s="24" t="s">
        <v>762</v>
      </c>
    </row>
    <row r="59" spans="1:9" ht="15.5" x14ac:dyDescent="0.35">
      <c r="A59" s="18" t="s">
        <v>763</v>
      </c>
      <c r="B59" s="18" t="s">
        <v>750</v>
      </c>
      <c r="C59" s="18" t="s">
        <v>764</v>
      </c>
      <c r="D59" s="18" t="s">
        <v>829</v>
      </c>
      <c r="E59" s="18"/>
      <c r="F59" s="18" t="s">
        <v>11</v>
      </c>
      <c r="G59" s="18" t="s">
        <v>752</v>
      </c>
      <c r="H59" s="18" t="s">
        <v>629</v>
      </c>
      <c r="I59" s="24" t="s">
        <v>765</v>
      </c>
    </row>
    <row r="60" spans="1:9" ht="15.5" x14ac:dyDescent="0.35">
      <c r="A60" s="18" t="s">
        <v>766</v>
      </c>
      <c r="B60" s="18" t="s">
        <v>750</v>
      </c>
      <c r="C60" s="18" t="s">
        <v>767</v>
      </c>
      <c r="D60" s="18" t="s">
        <v>830</v>
      </c>
      <c r="E60" s="18"/>
      <c r="F60" s="18" t="s">
        <v>11</v>
      </c>
      <c r="G60" s="18" t="s">
        <v>752</v>
      </c>
      <c r="H60" s="18" t="s">
        <v>629</v>
      </c>
      <c r="I60" s="24" t="s">
        <v>768</v>
      </c>
    </row>
    <row r="61" spans="1:9" ht="23" x14ac:dyDescent="0.35">
      <c r="A61" s="4" t="s">
        <v>769</v>
      </c>
      <c r="B61" s="4" t="s">
        <v>770</v>
      </c>
      <c r="C61" s="4" t="s">
        <v>771</v>
      </c>
      <c r="D61" s="4" t="s">
        <v>831</v>
      </c>
      <c r="E61" s="4" t="s">
        <v>11</v>
      </c>
      <c r="F61" s="4" t="s">
        <v>11</v>
      </c>
      <c r="G61" s="4" t="s">
        <v>772</v>
      </c>
      <c r="H61" s="4" t="s">
        <v>679</v>
      </c>
      <c r="I61" s="4"/>
    </row>
  </sheetData>
  <autoFilter ref="A4:I61" xr:uid="{00000000-0009-0000-0000-000007000000}"/>
  <hyperlinks>
    <hyperlink ref="I5" r:id="rId1" xr:uid="{00000000-0004-0000-0700-000000000000}"/>
    <hyperlink ref="I6" r:id="rId2" xr:uid="{00000000-0004-0000-0700-000001000000}"/>
    <hyperlink ref="I7" r:id="rId3" xr:uid="{00000000-0004-0000-0700-000002000000}"/>
    <hyperlink ref="I8" r:id="rId4" xr:uid="{00000000-0004-0000-0700-000003000000}"/>
    <hyperlink ref="I9" r:id="rId5" xr:uid="{00000000-0004-0000-0700-000004000000}"/>
    <hyperlink ref="I10" r:id="rId6" xr:uid="{00000000-0004-0000-0700-000005000000}"/>
    <hyperlink ref="I11" r:id="rId7" xr:uid="{00000000-0004-0000-0700-000006000000}"/>
    <hyperlink ref="I12" r:id="rId8" xr:uid="{00000000-0004-0000-0700-000007000000}"/>
    <hyperlink ref="I13" r:id="rId9" xr:uid="{00000000-0004-0000-0700-000008000000}"/>
    <hyperlink ref="I14" r:id="rId10" xr:uid="{00000000-0004-0000-0700-000009000000}"/>
    <hyperlink ref="I15" r:id="rId11" xr:uid="{00000000-0004-0000-0700-00000A000000}"/>
    <hyperlink ref="I16" r:id="rId12" xr:uid="{00000000-0004-0000-0700-00000B000000}"/>
    <hyperlink ref="I17" r:id="rId13" xr:uid="{00000000-0004-0000-0700-00000C000000}"/>
    <hyperlink ref="I18" r:id="rId14" xr:uid="{00000000-0004-0000-0700-00000D000000}"/>
    <hyperlink ref="I19" r:id="rId15" xr:uid="{00000000-0004-0000-0700-00000E000000}"/>
    <hyperlink ref="I20" r:id="rId16" xr:uid="{00000000-0004-0000-0700-00000F000000}"/>
    <hyperlink ref="I21" r:id="rId17" xr:uid="{00000000-0004-0000-0700-000010000000}"/>
    <hyperlink ref="I22" r:id="rId18" xr:uid="{00000000-0004-0000-0700-000011000000}"/>
    <hyperlink ref="I23" r:id="rId19" xr:uid="{00000000-0004-0000-0700-000012000000}"/>
    <hyperlink ref="I24" r:id="rId20" xr:uid="{00000000-0004-0000-0700-000013000000}"/>
    <hyperlink ref="I25" r:id="rId21" xr:uid="{00000000-0004-0000-0700-000014000000}"/>
    <hyperlink ref="I26" r:id="rId22" xr:uid="{00000000-0004-0000-0700-000015000000}"/>
    <hyperlink ref="I27" r:id="rId23" xr:uid="{00000000-0004-0000-0700-000016000000}"/>
    <hyperlink ref="I28" r:id="rId24" xr:uid="{00000000-0004-0000-0700-000017000000}"/>
    <hyperlink ref="I29" r:id="rId25" xr:uid="{00000000-0004-0000-0700-000018000000}"/>
    <hyperlink ref="I30" r:id="rId26" xr:uid="{00000000-0004-0000-0700-000019000000}"/>
    <hyperlink ref="I31" r:id="rId27" xr:uid="{00000000-0004-0000-0700-00001A000000}"/>
    <hyperlink ref="I32" r:id="rId28" xr:uid="{00000000-0004-0000-0700-00001B000000}"/>
    <hyperlink ref="I33" r:id="rId29" xr:uid="{00000000-0004-0000-0700-00001C000000}"/>
    <hyperlink ref="I34" r:id="rId30" xr:uid="{00000000-0004-0000-0700-00001D000000}"/>
    <hyperlink ref="I35" r:id="rId31" xr:uid="{00000000-0004-0000-0700-00001E000000}"/>
    <hyperlink ref="I36" r:id="rId32" xr:uid="{00000000-0004-0000-0700-00001F000000}"/>
    <hyperlink ref="I37" r:id="rId33" xr:uid="{00000000-0004-0000-0700-000020000000}"/>
    <hyperlink ref="I38" r:id="rId34" xr:uid="{00000000-0004-0000-0700-000021000000}"/>
    <hyperlink ref="I39" r:id="rId35" xr:uid="{00000000-0004-0000-0700-000022000000}"/>
    <hyperlink ref="I40" r:id="rId36" xr:uid="{00000000-0004-0000-0700-000023000000}"/>
    <hyperlink ref="I41" r:id="rId37" xr:uid="{00000000-0004-0000-0700-000024000000}"/>
    <hyperlink ref="I42" r:id="rId38" xr:uid="{00000000-0004-0000-0700-000025000000}"/>
    <hyperlink ref="I43" r:id="rId39" xr:uid="{00000000-0004-0000-0700-000026000000}"/>
    <hyperlink ref="I44" r:id="rId40" xr:uid="{00000000-0004-0000-0700-000027000000}"/>
    <hyperlink ref="I45" r:id="rId41" xr:uid="{00000000-0004-0000-0700-000028000000}"/>
    <hyperlink ref="I46" r:id="rId42" xr:uid="{00000000-0004-0000-0700-000029000000}"/>
    <hyperlink ref="I47" r:id="rId43" xr:uid="{00000000-0004-0000-0700-00002A000000}"/>
    <hyperlink ref="I48" r:id="rId44" xr:uid="{00000000-0004-0000-0700-00002B000000}"/>
    <hyperlink ref="I49" r:id="rId45" xr:uid="{00000000-0004-0000-0700-00002C000000}"/>
    <hyperlink ref="I50" r:id="rId46" xr:uid="{00000000-0004-0000-0700-00002D000000}"/>
    <hyperlink ref="I51" r:id="rId47" xr:uid="{00000000-0004-0000-0700-00002E000000}"/>
    <hyperlink ref="I52" r:id="rId48" xr:uid="{00000000-0004-0000-0700-00002F000000}"/>
    <hyperlink ref="I53" r:id="rId49" xr:uid="{00000000-0004-0000-0700-000030000000}"/>
    <hyperlink ref="I54" r:id="rId50" xr:uid="{00000000-0004-0000-0700-000031000000}"/>
    <hyperlink ref="I55" r:id="rId51" xr:uid="{00000000-0004-0000-0700-000032000000}"/>
    <hyperlink ref="I56" r:id="rId52" xr:uid="{00000000-0004-0000-0700-000033000000}"/>
    <hyperlink ref="I57" r:id="rId53" xr:uid="{00000000-0004-0000-0700-000034000000}"/>
    <hyperlink ref="I58" r:id="rId54" xr:uid="{00000000-0004-0000-0700-000035000000}"/>
    <hyperlink ref="I59" r:id="rId55" xr:uid="{00000000-0004-0000-0700-000036000000}"/>
    <hyperlink ref="I60" r:id="rId56" xr:uid="{00000000-0004-0000-0700-000037000000}"/>
  </hyperlinks>
  <pageMargins left="0.75" right="0.75" top="1" bottom="1" header="0.5" footer="0.5"/>
  <pageSetup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14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2" customWidth="1"/>
    <col min="2" max="2" width="10" customWidth="1"/>
    <col min="3" max="6" width="14" customWidth="1"/>
    <col min="7" max="7" width="24" customWidth="1"/>
  </cols>
  <sheetData>
    <row r="1" spans="1:7" ht="25" x14ac:dyDescent="0.5">
      <c r="A1" s="1" t="s">
        <v>832</v>
      </c>
    </row>
    <row r="2" spans="1:7" x14ac:dyDescent="0.35">
      <c r="A2" s="2" t="s">
        <v>833</v>
      </c>
    </row>
    <row r="4" spans="1:7" ht="22" customHeight="1" x14ac:dyDescent="0.35">
      <c r="A4" s="3" t="s">
        <v>524</v>
      </c>
      <c r="B4" s="3" t="s">
        <v>834</v>
      </c>
      <c r="C4" s="3">
        <v>2023</v>
      </c>
      <c r="D4" s="3">
        <v>2024</v>
      </c>
      <c r="E4" s="3">
        <v>2025</v>
      </c>
      <c r="F4" s="3">
        <v>2026</v>
      </c>
      <c r="G4" s="3" t="s">
        <v>552</v>
      </c>
    </row>
    <row r="5" spans="1:7" x14ac:dyDescent="0.35">
      <c r="A5" s="5" t="s">
        <v>525</v>
      </c>
      <c r="B5" s="5" t="s">
        <v>835</v>
      </c>
      <c r="C5" s="11">
        <v>16</v>
      </c>
      <c r="D5" s="11">
        <v>28</v>
      </c>
      <c r="E5" s="11">
        <v>170</v>
      </c>
      <c r="F5" s="11">
        <v>650</v>
      </c>
      <c r="G5" s="5" t="s">
        <v>836</v>
      </c>
    </row>
    <row r="6" spans="1:7" x14ac:dyDescent="0.35">
      <c r="A6" s="5" t="s">
        <v>837</v>
      </c>
      <c r="B6" s="5" t="s">
        <v>835</v>
      </c>
      <c r="C6" s="11">
        <v>20</v>
      </c>
      <c r="D6" s="11">
        <v>28</v>
      </c>
      <c r="E6" s="11">
        <v>300</v>
      </c>
      <c r="F6" s="11">
        <v>1000</v>
      </c>
      <c r="G6" s="5" t="s">
        <v>836</v>
      </c>
    </row>
    <row r="7" spans="1:7" x14ac:dyDescent="0.35">
      <c r="A7" s="5" t="s">
        <v>838</v>
      </c>
      <c r="B7" s="5" t="s">
        <v>839</v>
      </c>
      <c r="C7" s="25">
        <v>22.5</v>
      </c>
      <c r="D7" s="25">
        <v>30</v>
      </c>
      <c r="E7" s="25">
        <v>40</v>
      </c>
      <c r="F7" s="25">
        <v>50</v>
      </c>
      <c r="G7" s="5" t="s">
        <v>836</v>
      </c>
    </row>
    <row r="8" spans="1:7" x14ac:dyDescent="0.35">
      <c r="A8" s="5" t="s">
        <v>840</v>
      </c>
      <c r="B8" s="5" t="s">
        <v>839</v>
      </c>
      <c r="C8" s="25">
        <v>2.5</v>
      </c>
      <c r="D8" s="25">
        <v>3.3</v>
      </c>
      <c r="E8" s="25">
        <v>6.8</v>
      </c>
      <c r="F8" s="25">
        <v>11</v>
      </c>
      <c r="G8" s="5" t="s">
        <v>836</v>
      </c>
    </row>
    <row r="9" spans="1:7" x14ac:dyDescent="0.35">
      <c r="A9" s="5" t="s">
        <v>841</v>
      </c>
      <c r="B9" s="5" t="s">
        <v>839</v>
      </c>
      <c r="C9" s="26">
        <v>0.1</v>
      </c>
      <c r="D9" s="26">
        <v>0.16</v>
      </c>
      <c r="E9" s="26">
        <v>0.65</v>
      </c>
      <c r="F9" s="26">
        <v>1.8</v>
      </c>
      <c r="G9" s="5" t="s">
        <v>836</v>
      </c>
    </row>
    <row r="10" spans="1:7" x14ac:dyDescent="0.35">
      <c r="A10" s="5" t="s">
        <v>842</v>
      </c>
      <c r="B10" s="5" t="s">
        <v>843</v>
      </c>
      <c r="C10" s="27">
        <v>40</v>
      </c>
      <c r="D10" s="27">
        <v>100</v>
      </c>
      <c r="E10" s="27">
        <v>400</v>
      </c>
      <c r="F10" s="27">
        <v>1200</v>
      </c>
      <c r="G10" s="5" t="s">
        <v>836</v>
      </c>
    </row>
    <row r="11" spans="1:7" x14ac:dyDescent="0.35">
      <c r="A11" s="5" t="s">
        <v>844</v>
      </c>
      <c r="B11" s="5" t="s">
        <v>845</v>
      </c>
      <c r="C11" s="10">
        <v>0.04</v>
      </c>
      <c r="D11" s="10">
        <v>4.8484848484848492E-2</v>
      </c>
      <c r="E11" s="10">
        <v>9.5588235294117654E-2</v>
      </c>
      <c r="F11" s="10">
        <v>0.16363636363636361</v>
      </c>
      <c r="G11" s="5" t="s">
        <v>836</v>
      </c>
    </row>
    <row r="12" spans="1:7" x14ac:dyDescent="0.35">
      <c r="A12" s="5" t="s">
        <v>846</v>
      </c>
      <c r="B12" s="5" t="s">
        <v>845</v>
      </c>
      <c r="C12" s="10">
        <v>0.85</v>
      </c>
      <c r="D12" s="10">
        <v>0.88</v>
      </c>
      <c r="E12" s="10">
        <v>0.9</v>
      </c>
      <c r="F12" s="10">
        <v>0.92</v>
      </c>
      <c r="G12" s="5" t="s">
        <v>836</v>
      </c>
    </row>
    <row r="13" spans="1:7" x14ac:dyDescent="0.35">
      <c r="A13" s="5" t="s">
        <v>847</v>
      </c>
      <c r="B13" s="5" t="s">
        <v>845</v>
      </c>
      <c r="C13" s="10">
        <v>1.1499999999999999</v>
      </c>
      <c r="D13" s="10">
        <v>1.2</v>
      </c>
      <c r="E13" s="10">
        <v>1.3</v>
      </c>
      <c r="F13" s="10">
        <v>1.38</v>
      </c>
      <c r="G13" s="5" t="s">
        <v>836</v>
      </c>
    </row>
    <row r="14" spans="1:7" x14ac:dyDescent="0.35">
      <c r="A14" s="5" t="s">
        <v>848</v>
      </c>
      <c r="B14" s="5" t="s">
        <v>845</v>
      </c>
      <c r="C14" s="10">
        <v>0.25</v>
      </c>
      <c r="D14" s="10">
        <v>0.28000000000000003</v>
      </c>
      <c r="E14" s="10">
        <v>0.32</v>
      </c>
      <c r="F14" s="10">
        <v>0.36</v>
      </c>
      <c r="G14" s="5" t="s">
        <v>836</v>
      </c>
    </row>
  </sheetData>
  <autoFilter ref="A4:G14" xr:uid="{00000000-0009-0000-0000-000008000000}"/>
  <pageMargins left="0.75" right="0.75" top="1" bottom="1" header="0.5" footer="0.5"/>
  <pageSetup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J9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0" customWidth="1"/>
    <col min="2" max="10" width="14" customWidth="1"/>
  </cols>
  <sheetData>
    <row r="1" spans="1:10" ht="25" x14ac:dyDescent="0.5">
      <c r="A1" s="1" t="s">
        <v>849</v>
      </c>
    </row>
    <row r="2" spans="1:10" x14ac:dyDescent="0.35">
      <c r="A2" s="2" t="s">
        <v>850</v>
      </c>
    </row>
    <row r="4" spans="1:10" ht="22" customHeight="1" x14ac:dyDescent="0.35">
      <c r="A4" s="3" t="s">
        <v>524</v>
      </c>
      <c r="B4" s="3">
        <v>2023</v>
      </c>
      <c r="C4" s="3">
        <v>2024</v>
      </c>
      <c r="D4" s="3">
        <v>2025</v>
      </c>
      <c r="E4" s="3">
        <v>2026</v>
      </c>
      <c r="F4" s="3">
        <v>2027</v>
      </c>
      <c r="G4" s="3">
        <v>2028</v>
      </c>
      <c r="H4" s="3">
        <v>2029</v>
      </c>
      <c r="I4" s="3">
        <v>2030</v>
      </c>
      <c r="J4" s="3">
        <v>2031</v>
      </c>
    </row>
    <row r="5" spans="1:10" x14ac:dyDescent="0.35">
      <c r="A5" s="5" t="s">
        <v>458</v>
      </c>
      <c r="B5" s="11">
        <v>10</v>
      </c>
      <c r="C5" s="11">
        <v>15</v>
      </c>
      <c r="D5" s="11">
        <v>95</v>
      </c>
      <c r="E5" s="11">
        <v>300</v>
      </c>
      <c r="F5" s="11">
        <v>500</v>
      </c>
      <c r="G5" s="11">
        <v>700</v>
      </c>
      <c r="H5" s="11">
        <v>880</v>
      </c>
      <c r="I5" s="11">
        <v>1050</v>
      </c>
      <c r="J5" s="11">
        <v>1200</v>
      </c>
    </row>
    <row r="6" spans="1:10" x14ac:dyDescent="0.35">
      <c r="A6" s="5" t="s">
        <v>459</v>
      </c>
      <c r="B6" s="11">
        <v>3</v>
      </c>
      <c r="C6" s="11">
        <v>6</v>
      </c>
      <c r="D6" s="11">
        <v>35</v>
      </c>
      <c r="E6" s="11">
        <v>160</v>
      </c>
      <c r="F6" s="11">
        <v>360</v>
      </c>
      <c r="G6" s="11">
        <v>650</v>
      </c>
      <c r="H6" s="11">
        <v>950</v>
      </c>
      <c r="I6" s="11">
        <v>1300</v>
      </c>
      <c r="J6" s="11">
        <v>1650</v>
      </c>
    </row>
    <row r="7" spans="1:10" x14ac:dyDescent="0.35">
      <c r="A7" s="5" t="s">
        <v>851</v>
      </c>
      <c r="B7" s="11">
        <v>3</v>
      </c>
      <c r="C7" s="11">
        <v>7</v>
      </c>
      <c r="D7" s="11">
        <v>40</v>
      </c>
      <c r="E7" s="11">
        <v>190</v>
      </c>
      <c r="F7" s="11">
        <v>380</v>
      </c>
      <c r="G7" s="11">
        <v>700</v>
      </c>
      <c r="H7" s="11">
        <v>1170</v>
      </c>
      <c r="I7" s="11">
        <v>1750</v>
      </c>
      <c r="J7" s="11">
        <v>2400</v>
      </c>
    </row>
    <row r="8" spans="1:10" x14ac:dyDescent="0.35">
      <c r="A8" s="5" t="s">
        <v>852</v>
      </c>
      <c r="B8" s="11">
        <v>16</v>
      </c>
      <c r="C8" s="11">
        <v>28</v>
      </c>
      <c r="D8" s="11">
        <v>170</v>
      </c>
      <c r="E8" s="11">
        <v>650</v>
      </c>
      <c r="F8" s="11">
        <v>1240</v>
      </c>
      <c r="G8" s="11">
        <v>2050</v>
      </c>
      <c r="H8" s="11">
        <v>3000</v>
      </c>
      <c r="I8" s="11">
        <v>4100</v>
      </c>
      <c r="J8" s="11">
        <v>5250</v>
      </c>
    </row>
    <row r="9" spans="1:10" x14ac:dyDescent="0.35">
      <c r="A9" s="5" t="s">
        <v>853</v>
      </c>
      <c r="B9" s="10"/>
      <c r="C9" s="10">
        <v>0.75</v>
      </c>
      <c r="D9" s="10">
        <v>5.0714285714285712</v>
      </c>
      <c r="E9" s="10">
        <v>2.8235294117647061</v>
      </c>
      <c r="F9" s="10">
        <v>0.9076923076923078</v>
      </c>
      <c r="G9" s="10">
        <v>0.65322580645161299</v>
      </c>
      <c r="H9" s="10">
        <v>0.46341463414634138</v>
      </c>
      <c r="I9" s="10">
        <v>0.3666666666666667</v>
      </c>
      <c r="J9" s="10">
        <v>0.28048780487804881</v>
      </c>
    </row>
  </sheetData>
  <autoFilter ref="A4:J9" xr:uid="{00000000-0009-0000-0000-000009000000}"/>
  <pageMargins left="0.75" right="0.75" top="1" bottom="1" header="0.5" footer="0.5"/>
  <pageSetup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8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5" width="14" customWidth="1"/>
    <col min="6" max="6" width="18" customWidth="1"/>
  </cols>
  <sheetData>
    <row r="1" spans="1:6" ht="25" x14ac:dyDescent="0.5">
      <c r="A1" s="1" t="s">
        <v>854</v>
      </c>
    </row>
    <row r="2" spans="1:6" x14ac:dyDescent="0.35">
      <c r="A2" s="2" t="s">
        <v>855</v>
      </c>
    </row>
    <row r="4" spans="1:6" ht="22" customHeight="1" x14ac:dyDescent="0.35">
      <c r="A4" s="3" t="s">
        <v>856</v>
      </c>
      <c r="B4" s="3" t="s">
        <v>857</v>
      </c>
      <c r="C4" s="3" t="s">
        <v>858</v>
      </c>
      <c r="D4" s="3" t="s">
        <v>859</v>
      </c>
      <c r="E4" s="3" t="s">
        <v>860</v>
      </c>
      <c r="F4" s="3" t="s">
        <v>552</v>
      </c>
    </row>
    <row r="5" spans="1:6" x14ac:dyDescent="0.35">
      <c r="A5" s="5">
        <v>2023</v>
      </c>
      <c r="B5" s="28">
        <v>1</v>
      </c>
      <c r="C5" s="28">
        <v>1.1200000000000001</v>
      </c>
      <c r="D5" s="28">
        <v>1.28</v>
      </c>
      <c r="E5" s="28">
        <v>1.42</v>
      </c>
      <c r="F5" s="5" t="s">
        <v>554</v>
      </c>
    </row>
    <row r="6" spans="1:6" x14ac:dyDescent="0.35">
      <c r="A6" s="5">
        <v>2024</v>
      </c>
      <c r="B6" s="28">
        <v>1</v>
      </c>
      <c r="C6" s="28">
        <v>1.22</v>
      </c>
      <c r="D6" s="28">
        <v>1.48</v>
      </c>
      <c r="E6" s="28">
        <v>1.7</v>
      </c>
      <c r="F6" s="5" t="s">
        <v>554</v>
      </c>
    </row>
    <row r="7" spans="1:6" x14ac:dyDescent="0.35">
      <c r="A7" s="5">
        <v>2025</v>
      </c>
      <c r="B7" s="28">
        <v>1</v>
      </c>
      <c r="C7" s="28">
        <v>1.35</v>
      </c>
      <c r="D7" s="28">
        <v>1.62</v>
      </c>
      <c r="E7" s="28"/>
      <c r="F7" s="5" t="s">
        <v>554</v>
      </c>
    </row>
    <row r="8" spans="1:6" x14ac:dyDescent="0.35">
      <c r="A8" s="5">
        <v>2026</v>
      </c>
      <c r="B8" s="28">
        <v>1</v>
      </c>
      <c r="C8" s="28">
        <v>1.38</v>
      </c>
      <c r="D8" s="28"/>
      <c r="E8" s="28"/>
      <c r="F8" s="5" t="s">
        <v>554</v>
      </c>
    </row>
  </sheetData>
  <autoFilter ref="A4:F8" xr:uid="{00000000-0009-0000-0000-00000A000000}"/>
  <pageMargins left="0.75" right="0.75" top="1" bottom="1" header="0.5" footer="0.5"/>
  <pageSetup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G11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42" customWidth="1"/>
    <col min="2" max="6" width="14" customWidth="1"/>
    <col min="7" max="7" width="16" customWidth="1"/>
  </cols>
  <sheetData>
    <row r="1" spans="1:7" ht="25" x14ac:dyDescent="0.5">
      <c r="A1" s="1" t="s">
        <v>861</v>
      </c>
    </row>
    <row r="2" spans="1:7" x14ac:dyDescent="0.35">
      <c r="A2" s="2" t="s">
        <v>862</v>
      </c>
    </row>
    <row r="4" spans="1:7" ht="22" customHeight="1" x14ac:dyDescent="0.35">
      <c r="A4" s="3" t="s">
        <v>524</v>
      </c>
      <c r="B4" s="3">
        <v>2025</v>
      </c>
      <c r="C4" s="3">
        <v>2026</v>
      </c>
      <c r="D4" s="3">
        <v>2027</v>
      </c>
      <c r="E4" s="3">
        <v>2028</v>
      </c>
      <c r="F4" s="3">
        <v>2029</v>
      </c>
      <c r="G4" s="3" t="s">
        <v>552</v>
      </c>
    </row>
    <row r="5" spans="1:7" x14ac:dyDescent="0.35">
      <c r="A5" s="5" t="s">
        <v>863</v>
      </c>
      <c r="B5" s="10">
        <v>0.28000000000000003</v>
      </c>
      <c r="C5" s="10">
        <v>0.46</v>
      </c>
      <c r="D5" s="10">
        <v>0.57999999999999996</v>
      </c>
      <c r="E5" s="10">
        <v>0.66</v>
      </c>
      <c r="F5" s="10">
        <v>0.71</v>
      </c>
      <c r="G5" s="5" t="s">
        <v>554</v>
      </c>
    </row>
    <row r="6" spans="1:7" x14ac:dyDescent="0.35">
      <c r="A6" s="5" t="s">
        <v>864</v>
      </c>
      <c r="B6" s="29">
        <v>55</v>
      </c>
      <c r="C6" s="29">
        <v>44</v>
      </c>
      <c r="D6" s="29">
        <v>39</v>
      </c>
      <c r="E6" s="29">
        <v>35</v>
      </c>
      <c r="F6" s="29">
        <v>32</v>
      </c>
      <c r="G6" s="5" t="s">
        <v>554</v>
      </c>
    </row>
    <row r="7" spans="1:7" x14ac:dyDescent="0.35">
      <c r="A7" s="5" t="s">
        <v>865</v>
      </c>
      <c r="B7" s="30">
        <v>9</v>
      </c>
      <c r="C7" s="30">
        <v>6</v>
      </c>
      <c r="D7" s="30">
        <v>5</v>
      </c>
      <c r="E7" s="30">
        <v>4.5</v>
      </c>
      <c r="F7" s="30">
        <v>4</v>
      </c>
      <c r="G7" s="5" t="s">
        <v>554</v>
      </c>
    </row>
    <row r="8" spans="1:7" x14ac:dyDescent="0.35">
      <c r="A8" s="5" t="s">
        <v>866</v>
      </c>
      <c r="B8" s="31">
        <v>145</v>
      </c>
      <c r="C8" s="31">
        <v>120</v>
      </c>
      <c r="D8" s="31">
        <v>105</v>
      </c>
      <c r="E8" s="31">
        <v>95</v>
      </c>
      <c r="F8" s="31">
        <v>90</v>
      </c>
      <c r="G8" s="5" t="s">
        <v>554</v>
      </c>
    </row>
    <row r="9" spans="1:7" x14ac:dyDescent="0.35">
      <c r="A9" s="5" t="s">
        <v>867</v>
      </c>
      <c r="B9" s="32">
        <v>19</v>
      </c>
      <c r="C9" s="32">
        <v>14</v>
      </c>
      <c r="D9" s="32">
        <v>12</v>
      </c>
      <c r="E9" s="32">
        <v>10</v>
      </c>
      <c r="F9" s="32">
        <v>9</v>
      </c>
      <c r="G9" s="5" t="s">
        <v>554</v>
      </c>
    </row>
    <row r="10" spans="1:7" x14ac:dyDescent="0.35">
      <c r="A10" s="5" t="s">
        <v>868</v>
      </c>
      <c r="B10" s="33">
        <v>3.2</v>
      </c>
      <c r="C10" s="33">
        <v>4.2</v>
      </c>
      <c r="D10" s="33">
        <v>5</v>
      </c>
      <c r="E10" s="33">
        <v>5.6</v>
      </c>
      <c r="F10" s="33">
        <v>6</v>
      </c>
      <c r="G10" s="5" t="s">
        <v>554</v>
      </c>
    </row>
    <row r="11" spans="1:7" x14ac:dyDescent="0.35">
      <c r="A11" s="5" t="s">
        <v>869</v>
      </c>
      <c r="B11" s="34">
        <v>100</v>
      </c>
      <c r="C11" s="34">
        <v>72</v>
      </c>
      <c r="D11" s="34">
        <v>54</v>
      </c>
      <c r="E11" s="34">
        <v>42</v>
      </c>
      <c r="F11" s="34">
        <v>35</v>
      </c>
      <c r="G11" s="5" t="s">
        <v>554</v>
      </c>
    </row>
  </sheetData>
  <autoFilter ref="A4:G11" xr:uid="{00000000-0009-0000-0000-00000B000000}"/>
  <pageMargins left="0.75" right="0.75" top="1" bottom="1" header="0.5" footer="0.5"/>
  <pageSetup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D15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8" customWidth="1"/>
    <col min="2" max="2" width="18" customWidth="1"/>
    <col min="3" max="4" width="16" customWidth="1"/>
  </cols>
  <sheetData>
    <row r="1" spans="1:4" ht="25" x14ac:dyDescent="0.5">
      <c r="A1" s="1" t="s">
        <v>870</v>
      </c>
    </row>
    <row r="2" spans="1:4" x14ac:dyDescent="0.35">
      <c r="A2" s="2" t="s">
        <v>871</v>
      </c>
    </row>
    <row r="4" spans="1:4" ht="22" customHeight="1" x14ac:dyDescent="0.35">
      <c r="A4" s="3" t="s">
        <v>524</v>
      </c>
      <c r="B4" s="3" t="s">
        <v>3</v>
      </c>
      <c r="C4" s="3" t="s">
        <v>834</v>
      </c>
      <c r="D4" s="3" t="s">
        <v>552</v>
      </c>
    </row>
    <row r="5" spans="1:4" x14ac:dyDescent="0.35">
      <c r="A5" s="5" t="s">
        <v>872</v>
      </c>
      <c r="B5" s="11">
        <v>880</v>
      </c>
      <c r="C5" s="5" t="s">
        <v>835</v>
      </c>
      <c r="D5" s="5" t="s">
        <v>554</v>
      </c>
    </row>
    <row r="6" spans="1:4" x14ac:dyDescent="0.35">
      <c r="A6" s="5" t="s">
        <v>873</v>
      </c>
      <c r="B6" s="11">
        <v>510</v>
      </c>
      <c r="C6" s="5" t="s">
        <v>835</v>
      </c>
      <c r="D6" s="5" t="s">
        <v>554</v>
      </c>
    </row>
    <row r="7" spans="1:4" x14ac:dyDescent="0.35">
      <c r="A7" s="5" t="s">
        <v>874</v>
      </c>
      <c r="B7" s="11">
        <v>310</v>
      </c>
      <c r="C7" s="5" t="s">
        <v>835</v>
      </c>
      <c r="D7" s="5" t="s">
        <v>554</v>
      </c>
    </row>
    <row r="8" spans="1:4" x14ac:dyDescent="0.35">
      <c r="A8" s="5" t="s">
        <v>875</v>
      </c>
      <c r="B8" s="11">
        <v>260</v>
      </c>
      <c r="C8" s="5" t="s">
        <v>835</v>
      </c>
      <c r="D8" s="5" t="s">
        <v>554</v>
      </c>
    </row>
    <row r="9" spans="1:4" x14ac:dyDescent="0.35">
      <c r="A9" s="5" t="s">
        <v>876</v>
      </c>
      <c r="B9" s="33">
        <v>3.4</v>
      </c>
      <c r="C9" s="5" t="s">
        <v>877</v>
      </c>
      <c r="D9" s="5" t="s">
        <v>554</v>
      </c>
    </row>
    <row r="10" spans="1:4" x14ac:dyDescent="0.35">
      <c r="A10" s="5" t="s">
        <v>878</v>
      </c>
      <c r="B10" s="10">
        <v>0.24</v>
      </c>
      <c r="C10" s="5" t="s">
        <v>845</v>
      </c>
      <c r="D10" s="5" t="s">
        <v>554</v>
      </c>
    </row>
    <row r="11" spans="1:4" x14ac:dyDescent="0.35">
      <c r="A11" s="5" t="s">
        <v>879</v>
      </c>
      <c r="B11" s="35">
        <v>78</v>
      </c>
      <c r="C11" s="5" t="s">
        <v>880</v>
      </c>
      <c r="D11" s="5" t="s">
        <v>554</v>
      </c>
    </row>
    <row r="12" spans="1:4" x14ac:dyDescent="0.35">
      <c r="A12" s="5" t="s">
        <v>881</v>
      </c>
      <c r="B12" s="10">
        <v>0.64</v>
      </c>
      <c r="C12" s="5" t="s">
        <v>845</v>
      </c>
      <c r="D12" s="5" t="s">
        <v>554</v>
      </c>
    </row>
    <row r="13" spans="1:4" x14ac:dyDescent="0.35">
      <c r="A13" s="5" t="s">
        <v>882</v>
      </c>
      <c r="B13" s="27">
        <v>96</v>
      </c>
      <c r="C13" s="5" t="s">
        <v>843</v>
      </c>
      <c r="D13" s="5" t="s">
        <v>554</v>
      </c>
    </row>
    <row r="14" spans="1:4" x14ac:dyDescent="0.35">
      <c r="A14" s="5" t="s">
        <v>883</v>
      </c>
      <c r="B14" s="36">
        <v>1.2</v>
      </c>
      <c r="C14" s="5" t="s">
        <v>835</v>
      </c>
      <c r="D14" s="5" t="s">
        <v>554</v>
      </c>
    </row>
    <row r="15" spans="1:4" x14ac:dyDescent="0.35">
      <c r="A15" s="5" t="s">
        <v>884</v>
      </c>
      <c r="B15" s="32">
        <v>6</v>
      </c>
      <c r="C15" s="5" t="s">
        <v>885</v>
      </c>
      <c r="D15" s="5" t="s">
        <v>554</v>
      </c>
    </row>
  </sheetData>
  <autoFilter ref="A4:D15" xr:uid="{00000000-0009-0000-0000-00000C000000}"/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9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4" customWidth="1"/>
    <col min="2" max="2" width="24" customWidth="1"/>
    <col min="3" max="3" width="26" customWidth="1"/>
    <col min="4" max="4" width="18" customWidth="1"/>
    <col min="5" max="5" width="22" customWidth="1"/>
    <col min="6" max="6" width="18" customWidth="1"/>
  </cols>
  <sheetData>
    <row r="1" spans="1:6" ht="25" x14ac:dyDescent="0.5">
      <c r="A1" s="1" t="s">
        <v>886</v>
      </c>
    </row>
    <row r="2" spans="1:6" x14ac:dyDescent="0.35">
      <c r="A2" s="2" t="s">
        <v>887</v>
      </c>
    </row>
    <row r="4" spans="1:6" ht="22" customHeight="1" x14ac:dyDescent="0.35">
      <c r="A4" s="3" t="s">
        <v>888</v>
      </c>
      <c r="B4" s="3" t="s">
        <v>889</v>
      </c>
      <c r="C4" s="3" t="s">
        <v>890</v>
      </c>
      <c r="D4" s="3" t="s">
        <v>891</v>
      </c>
      <c r="E4" s="3" t="s">
        <v>892</v>
      </c>
      <c r="F4" s="3" t="s">
        <v>552</v>
      </c>
    </row>
    <row r="5" spans="1:6" x14ac:dyDescent="0.35">
      <c r="A5" s="4" t="s">
        <v>305</v>
      </c>
      <c r="B5" s="25">
        <v>125</v>
      </c>
      <c r="C5" s="11">
        <v>400</v>
      </c>
      <c r="D5" s="11">
        <v>50000</v>
      </c>
      <c r="E5" s="11">
        <v>20000</v>
      </c>
      <c r="F5" s="4" t="s">
        <v>893</v>
      </c>
    </row>
    <row r="6" spans="1:6" x14ac:dyDescent="0.35">
      <c r="A6" s="4" t="s">
        <v>312</v>
      </c>
      <c r="B6" s="25">
        <v>200</v>
      </c>
      <c r="C6" s="11">
        <v>480</v>
      </c>
      <c r="D6" s="11">
        <v>96000</v>
      </c>
      <c r="E6" s="11">
        <v>35000</v>
      </c>
      <c r="F6" s="4" t="s">
        <v>893</v>
      </c>
    </row>
    <row r="7" spans="1:6" x14ac:dyDescent="0.35">
      <c r="A7" s="4" t="s">
        <v>319</v>
      </c>
      <c r="B7" s="25">
        <v>45</v>
      </c>
      <c r="C7" s="11">
        <v>1200</v>
      </c>
      <c r="D7" s="11">
        <v>54000</v>
      </c>
      <c r="E7" s="11">
        <v>20000</v>
      </c>
      <c r="F7" s="4" t="s">
        <v>893</v>
      </c>
    </row>
    <row r="8" spans="1:6" x14ac:dyDescent="0.35">
      <c r="A8" s="4" t="s">
        <v>326</v>
      </c>
      <c r="B8" s="25">
        <v>25</v>
      </c>
      <c r="C8" s="11">
        <v>2000</v>
      </c>
      <c r="D8" s="11">
        <v>50000</v>
      </c>
      <c r="E8" s="11">
        <v>15000</v>
      </c>
      <c r="F8" s="4" t="s">
        <v>893</v>
      </c>
    </row>
    <row r="9" spans="1:6" x14ac:dyDescent="0.35">
      <c r="A9" s="19" t="s">
        <v>894</v>
      </c>
      <c r="B9" s="37"/>
      <c r="C9" s="38"/>
      <c r="D9" s="38">
        <v>250000</v>
      </c>
      <c r="E9" s="38">
        <v>90000</v>
      </c>
      <c r="F9" s="19" t="s">
        <v>558</v>
      </c>
    </row>
  </sheetData>
  <autoFilter ref="A4:F9" xr:uid="{00000000-0009-0000-0000-00000D000000}"/>
  <pageMargins left="0.75" right="0.75" top="1" bottom="1" header="0.5" footer="0.5"/>
  <pageSetup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H16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6" customWidth="1"/>
    <col min="2" max="2" width="32" customWidth="1"/>
    <col min="3" max="8" width="14" customWidth="1"/>
  </cols>
  <sheetData>
    <row r="1" spans="1:8" ht="25" x14ac:dyDescent="0.5">
      <c r="A1" s="1" t="s">
        <v>895</v>
      </c>
    </row>
    <row r="2" spans="1:8" x14ac:dyDescent="0.35">
      <c r="A2" s="2" t="s">
        <v>896</v>
      </c>
    </row>
    <row r="4" spans="1:8" ht="22" customHeight="1" x14ac:dyDescent="0.35">
      <c r="A4" s="3" t="s">
        <v>897</v>
      </c>
      <c r="B4" s="3" t="s">
        <v>524</v>
      </c>
      <c r="C4" s="3">
        <v>2026</v>
      </c>
      <c r="D4" s="3">
        <v>2027</v>
      </c>
      <c r="E4" s="3">
        <v>2028</v>
      </c>
      <c r="F4" s="3">
        <v>2029</v>
      </c>
      <c r="G4" s="3">
        <v>2030</v>
      </c>
      <c r="H4" s="3">
        <v>2031</v>
      </c>
    </row>
    <row r="5" spans="1:8" x14ac:dyDescent="0.35">
      <c r="A5" s="5" t="s">
        <v>898</v>
      </c>
      <c r="B5" s="5" t="s">
        <v>525</v>
      </c>
      <c r="C5" s="39">
        <v>650</v>
      </c>
      <c r="D5" s="39">
        <v>1016.8</v>
      </c>
      <c r="E5" s="39">
        <v>1496.5</v>
      </c>
      <c r="F5" s="39">
        <v>2040</v>
      </c>
      <c r="G5" s="39">
        <v>2706</v>
      </c>
      <c r="H5" s="39">
        <v>3412.5</v>
      </c>
    </row>
    <row r="6" spans="1:8" x14ac:dyDescent="0.35">
      <c r="A6" s="5" t="s">
        <v>898</v>
      </c>
      <c r="B6" s="5" t="s">
        <v>529</v>
      </c>
      <c r="C6" s="40">
        <v>0.46</v>
      </c>
      <c r="D6" s="40">
        <v>0.52999999999999992</v>
      </c>
      <c r="E6" s="40">
        <v>0.59000000000000008</v>
      </c>
      <c r="F6" s="40">
        <v>0.63</v>
      </c>
      <c r="G6" s="40">
        <v>0.66</v>
      </c>
      <c r="H6" s="40">
        <v>0.69</v>
      </c>
    </row>
    <row r="7" spans="1:8" x14ac:dyDescent="0.35">
      <c r="A7" s="5" t="s">
        <v>898</v>
      </c>
      <c r="B7" s="5" t="s">
        <v>899</v>
      </c>
      <c r="C7" s="40">
        <v>-0.35538461538461541</v>
      </c>
      <c r="D7" s="40">
        <v>-0.14682926829268311</v>
      </c>
      <c r="E7" s="40">
        <v>-3.3321082525893608E-2</v>
      </c>
      <c r="F7" s="40">
        <v>1.7500000000000019E-2</v>
      </c>
      <c r="G7" s="40">
        <v>6.0886917960088688E-2</v>
      </c>
      <c r="H7" s="40">
        <v>0.1066153846153846</v>
      </c>
    </row>
    <row r="8" spans="1:8" x14ac:dyDescent="0.35">
      <c r="A8" s="5" t="s">
        <v>898</v>
      </c>
      <c r="B8" s="5" t="s">
        <v>544</v>
      </c>
      <c r="C8" s="41">
        <v>-256</v>
      </c>
      <c r="D8" s="41">
        <v>-174.29600000000019</v>
      </c>
      <c r="E8" s="41">
        <v>-64.864999999999782</v>
      </c>
      <c r="F8" s="41">
        <v>30.700000000000049</v>
      </c>
      <c r="G8" s="41">
        <v>174.76</v>
      </c>
      <c r="H8" s="41">
        <v>388.82499999999999</v>
      </c>
    </row>
    <row r="9" spans="1:8" x14ac:dyDescent="0.35">
      <c r="A9" s="5" t="s">
        <v>900</v>
      </c>
      <c r="B9" s="5" t="s">
        <v>525</v>
      </c>
      <c r="C9" s="38">
        <v>650</v>
      </c>
      <c r="D9" s="38">
        <v>1240</v>
      </c>
      <c r="E9" s="38">
        <v>2050</v>
      </c>
      <c r="F9" s="38">
        <v>3000</v>
      </c>
      <c r="G9" s="38">
        <v>4100</v>
      </c>
      <c r="H9" s="38">
        <v>5250</v>
      </c>
    </row>
    <row r="10" spans="1:8" x14ac:dyDescent="0.35">
      <c r="A10" s="5" t="s">
        <v>900</v>
      </c>
      <c r="B10" s="5" t="s">
        <v>529</v>
      </c>
      <c r="C10" s="42">
        <v>0.46</v>
      </c>
      <c r="D10" s="42">
        <v>0.57999999999999996</v>
      </c>
      <c r="E10" s="42">
        <v>0.66</v>
      </c>
      <c r="F10" s="42">
        <v>0.71</v>
      </c>
      <c r="G10" s="42">
        <v>0.74</v>
      </c>
      <c r="H10" s="42">
        <v>0.76</v>
      </c>
    </row>
    <row r="11" spans="1:8" x14ac:dyDescent="0.35">
      <c r="A11" s="5" t="s">
        <v>900</v>
      </c>
      <c r="B11" s="5" t="s">
        <v>899</v>
      </c>
      <c r="C11" s="42">
        <v>-0.35538461538461541</v>
      </c>
      <c r="D11" s="42">
        <v>-1.6774193548387151E-2</v>
      </c>
      <c r="E11" s="42">
        <v>0.1429268292682927</v>
      </c>
      <c r="F11" s="42">
        <v>0.22</v>
      </c>
      <c r="G11" s="42">
        <v>0.26926829268292679</v>
      </c>
      <c r="H11" s="42">
        <v>0.30857142857142861</v>
      </c>
    </row>
    <row r="12" spans="1:8" x14ac:dyDescent="0.35">
      <c r="A12" s="5" t="s">
        <v>900</v>
      </c>
      <c r="B12" s="5" t="s">
        <v>544</v>
      </c>
      <c r="C12" s="43">
        <v>-256</v>
      </c>
      <c r="D12" s="43">
        <v>-45.800000000000068</v>
      </c>
      <c r="E12" s="43">
        <v>278</v>
      </c>
      <c r="F12" s="43">
        <v>655</v>
      </c>
      <c r="G12" s="43">
        <v>1114</v>
      </c>
      <c r="H12" s="43">
        <v>1645</v>
      </c>
    </row>
    <row r="13" spans="1:8" x14ac:dyDescent="0.35">
      <c r="A13" s="5" t="s">
        <v>901</v>
      </c>
      <c r="B13" s="5" t="s">
        <v>525</v>
      </c>
      <c r="C13" s="44">
        <v>650</v>
      </c>
      <c r="D13" s="44">
        <v>1388.8</v>
      </c>
      <c r="E13" s="44">
        <v>2501</v>
      </c>
      <c r="F13" s="44">
        <v>3900</v>
      </c>
      <c r="G13" s="44">
        <v>5576</v>
      </c>
      <c r="H13" s="44">
        <v>7349.9999999999991</v>
      </c>
    </row>
    <row r="14" spans="1:8" x14ac:dyDescent="0.35">
      <c r="A14" s="5" t="s">
        <v>901</v>
      </c>
      <c r="B14" s="5" t="s">
        <v>529</v>
      </c>
      <c r="C14" s="45">
        <v>0.46</v>
      </c>
      <c r="D14" s="45">
        <v>0.61</v>
      </c>
      <c r="E14" s="45">
        <v>0.71000000000000008</v>
      </c>
      <c r="F14" s="45">
        <v>0.77</v>
      </c>
      <c r="G14" s="45">
        <v>0.8</v>
      </c>
      <c r="H14" s="45">
        <v>0.82000000000000006</v>
      </c>
    </row>
    <row r="15" spans="1:8" x14ac:dyDescent="0.35">
      <c r="A15" s="5" t="s">
        <v>901</v>
      </c>
      <c r="B15" s="5" t="s">
        <v>899</v>
      </c>
      <c r="C15" s="45">
        <v>-0.35538461538461541</v>
      </c>
      <c r="D15" s="45">
        <v>3.4539170506912492E-2</v>
      </c>
      <c r="E15" s="45">
        <v>0.22683326669332279</v>
      </c>
      <c r="F15" s="45">
        <v>0.32523076923076932</v>
      </c>
      <c r="G15" s="45">
        <v>0.38464849354375902</v>
      </c>
      <c r="H15" s="45">
        <v>0.43306122448979589</v>
      </c>
    </row>
    <row r="16" spans="1:8" x14ac:dyDescent="0.35">
      <c r="A16" s="5" t="s">
        <v>901</v>
      </c>
      <c r="B16" s="5" t="s">
        <v>544</v>
      </c>
      <c r="C16" s="46">
        <v>-256</v>
      </c>
      <c r="D16" s="46">
        <v>22.968000000000071</v>
      </c>
      <c r="E16" s="46">
        <v>552.3100000000004</v>
      </c>
      <c r="F16" s="46">
        <v>1263.4000000000001</v>
      </c>
      <c r="G16" s="46">
        <v>2154.8000000000002</v>
      </c>
      <c r="H16" s="46">
        <v>3208</v>
      </c>
    </row>
  </sheetData>
  <autoFilter ref="A4:H16" xr:uid="{00000000-0009-0000-0000-00000E000000}"/>
  <pageMargins left="0.75" right="0.75" top="1" bottom="1" header="0.5" footer="0.5"/>
  <pageSetup fitToHeight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11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0" customWidth="1"/>
    <col min="2" max="3" width="18" customWidth="1"/>
    <col min="4" max="4" width="62" customWidth="1"/>
    <col min="5" max="5" width="16" customWidth="1"/>
  </cols>
  <sheetData>
    <row r="1" spans="1:5" ht="25" x14ac:dyDescent="0.5">
      <c r="A1" s="1" t="s">
        <v>902</v>
      </c>
    </row>
    <row r="2" spans="1:5" x14ac:dyDescent="0.35">
      <c r="A2" s="2" t="s">
        <v>903</v>
      </c>
    </row>
    <row r="4" spans="1:5" ht="22" customHeight="1" x14ac:dyDescent="0.35">
      <c r="A4" s="3" t="s">
        <v>904</v>
      </c>
      <c r="B4" s="3" t="s">
        <v>905</v>
      </c>
      <c r="C4" s="3" t="s">
        <v>906</v>
      </c>
      <c r="D4" s="3" t="s">
        <v>570</v>
      </c>
      <c r="E4" s="3" t="s">
        <v>552</v>
      </c>
    </row>
    <row r="5" spans="1:5" x14ac:dyDescent="0.35">
      <c r="A5" s="4" t="s">
        <v>333</v>
      </c>
      <c r="B5" s="11">
        <v>220</v>
      </c>
      <c r="C5" s="10">
        <v>0.27500000000000002</v>
      </c>
      <c r="D5" s="4" t="s">
        <v>337</v>
      </c>
      <c r="E5" s="4" t="s">
        <v>554</v>
      </c>
    </row>
    <row r="6" spans="1:5" x14ac:dyDescent="0.35">
      <c r="A6" s="4" t="s">
        <v>340</v>
      </c>
      <c r="B6" s="11">
        <v>160</v>
      </c>
      <c r="C6" s="10">
        <v>0.2</v>
      </c>
      <c r="D6" s="4" t="s">
        <v>344</v>
      </c>
      <c r="E6" s="4" t="s">
        <v>554</v>
      </c>
    </row>
    <row r="7" spans="1:5" x14ac:dyDescent="0.35">
      <c r="A7" s="4" t="s">
        <v>347</v>
      </c>
      <c r="B7" s="11">
        <v>140</v>
      </c>
      <c r="C7" s="10">
        <v>0.17499999999999999</v>
      </c>
      <c r="D7" s="4" t="s">
        <v>351</v>
      </c>
      <c r="E7" s="4" t="s">
        <v>554</v>
      </c>
    </row>
    <row r="8" spans="1:5" ht="23" x14ac:dyDescent="0.35">
      <c r="A8" s="4" t="s">
        <v>354</v>
      </c>
      <c r="B8" s="11">
        <v>120</v>
      </c>
      <c r="C8" s="10">
        <v>0.15</v>
      </c>
      <c r="D8" s="4" t="s">
        <v>358</v>
      </c>
      <c r="E8" s="4" t="s">
        <v>554</v>
      </c>
    </row>
    <row r="9" spans="1:5" x14ac:dyDescent="0.35">
      <c r="A9" s="4" t="s">
        <v>362</v>
      </c>
      <c r="B9" s="11">
        <v>120</v>
      </c>
      <c r="C9" s="10">
        <v>0.15</v>
      </c>
      <c r="D9" s="4" t="s">
        <v>366</v>
      </c>
      <c r="E9" s="4" t="s">
        <v>554</v>
      </c>
    </row>
    <row r="10" spans="1:5" x14ac:dyDescent="0.35">
      <c r="A10" s="4" t="s">
        <v>370</v>
      </c>
      <c r="B10" s="11">
        <v>40</v>
      </c>
      <c r="C10" s="10">
        <v>0.05</v>
      </c>
      <c r="D10" s="4" t="s">
        <v>374</v>
      </c>
      <c r="E10" s="4" t="s">
        <v>554</v>
      </c>
    </row>
    <row r="11" spans="1:5" x14ac:dyDescent="0.35">
      <c r="A11" s="19" t="s">
        <v>907</v>
      </c>
      <c r="B11" s="38">
        <v>800</v>
      </c>
      <c r="C11" s="42">
        <v>1</v>
      </c>
      <c r="D11" s="19" t="s">
        <v>908</v>
      </c>
      <c r="E11" s="19" t="s">
        <v>558</v>
      </c>
    </row>
  </sheetData>
  <autoFilter ref="A4:E11" xr:uid="{00000000-0009-0000-0000-00000F000000}"/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E28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4" customWidth="1"/>
    <col min="2" max="3" width="20" customWidth="1"/>
    <col min="4" max="4" width="18" customWidth="1"/>
  </cols>
  <sheetData>
    <row r="1" spans="1:4" ht="25" x14ac:dyDescent="0.5">
      <c r="A1" s="1" t="s">
        <v>909</v>
      </c>
    </row>
    <row r="2" spans="1:4" x14ac:dyDescent="0.35">
      <c r="A2" s="2" t="s">
        <v>910</v>
      </c>
    </row>
    <row r="4" spans="1:4" ht="22" customHeight="1" x14ac:dyDescent="0.35">
      <c r="A4" s="3" t="s">
        <v>911</v>
      </c>
      <c r="B4" s="3" t="s">
        <v>3</v>
      </c>
      <c r="C4" s="3" t="s">
        <v>834</v>
      </c>
    </row>
    <row r="5" spans="1:4" x14ac:dyDescent="0.35">
      <c r="A5" s="5" t="s">
        <v>613</v>
      </c>
      <c r="B5" s="11">
        <v>20000</v>
      </c>
      <c r="C5" s="5" t="s">
        <v>835</v>
      </c>
    </row>
    <row r="6" spans="1:4" x14ac:dyDescent="0.35">
      <c r="A6" s="5" t="s">
        <v>614</v>
      </c>
      <c r="B6" s="11">
        <v>20800</v>
      </c>
      <c r="C6" s="5" t="s">
        <v>835</v>
      </c>
    </row>
    <row r="7" spans="1:4" x14ac:dyDescent="0.35">
      <c r="A7" s="5" t="s">
        <v>912</v>
      </c>
      <c r="B7" s="11">
        <v>1240</v>
      </c>
      <c r="C7" s="5" t="s">
        <v>835</v>
      </c>
    </row>
    <row r="8" spans="1:4" x14ac:dyDescent="0.35">
      <c r="A8" s="5" t="s">
        <v>913</v>
      </c>
      <c r="B8" s="33">
        <v>16.12903225806452</v>
      </c>
      <c r="C8" s="5" t="s">
        <v>877</v>
      </c>
    </row>
    <row r="9" spans="1:4" x14ac:dyDescent="0.35">
      <c r="A9" s="5" t="s">
        <v>914</v>
      </c>
      <c r="B9" s="33">
        <v>16.7741935483871</v>
      </c>
      <c r="C9" s="5" t="s">
        <v>877</v>
      </c>
    </row>
    <row r="12" spans="1:4" ht="22" customHeight="1" x14ac:dyDescent="0.35">
      <c r="A12" s="3" t="s">
        <v>915</v>
      </c>
      <c r="B12" s="3" t="s">
        <v>916</v>
      </c>
      <c r="C12" s="3" t="s">
        <v>917</v>
      </c>
      <c r="D12" s="3" t="s">
        <v>918</v>
      </c>
    </row>
    <row r="13" spans="1:4" x14ac:dyDescent="0.35">
      <c r="A13" s="33">
        <v>6</v>
      </c>
      <c r="B13" s="11">
        <v>4100</v>
      </c>
      <c r="C13" s="11">
        <v>24600</v>
      </c>
      <c r="D13" s="33">
        <v>1.1826923076923079</v>
      </c>
    </row>
    <row r="14" spans="1:4" x14ac:dyDescent="0.35">
      <c r="A14" s="33">
        <v>8</v>
      </c>
      <c r="B14" s="11">
        <v>4100</v>
      </c>
      <c r="C14" s="11">
        <v>32800</v>
      </c>
      <c r="D14" s="33">
        <v>1.5769230769230771</v>
      </c>
    </row>
    <row r="15" spans="1:4" x14ac:dyDescent="0.35">
      <c r="A15" s="33">
        <v>10</v>
      </c>
      <c r="B15" s="11">
        <v>4100</v>
      </c>
      <c r="C15" s="11">
        <v>41000</v>
      </c>
      <c r="D15" s="33">
        <v>1.971153846153846</v>
      </c>
    </row>
    <row r="16" spans="1:4" x14ac:dyDescent="0.35">
      <c r="A16" s="33">
        <v>12</v>
      </c>
      <c r="B16" s="11">
        <v>4100</v>
      </c>
      <c r="C16" s="11">
        <v>49200</v>
      </c>
      <c r="D16" s="33">
        <v>2.365384615384615</v>
      </c>
    </row>
    <row r="20" spans="1:5" ht="22" customHeight="1" x14ac:dyDescent="0.35">
      <c r="A20" s="3" t="s">
        <v>919</v>
      </c>
      <c r="B20" s="3" t="s">
        <v>920</v>
      </c>
      <c r="C20" s="3" t="s">
        <v>921</v>
      </c>
      <c r="D20" s="3" t="s">
        <v>619</v>
      </c>
      <c r="E20" s="3" t="s">
        <v>922</v>
      </c>
    </row>
    <row r="21" spans="1:5" ht="23" x14ac:dyDescent="0.35">
      <c r="A21" s="18" t="s">
        <v>923</v>
      </c>
      <c r="B21" s="47">
        <v>4.5</v>
      </c>
      <c r="C21" s="18" t="s">
        <v>924</v>
      </c>
      <c r="D21" s="18" t="s">
        <v>749</v>
      </c>
      <c r="E21" s="18" t="s">
        <v>925</v>
      </c>
    </row>
    <row r="22" spans="1:5" ht="23" x14ac:dyDescent="0.35">
      <c r="A22" s="18" t="s">
        <v>926</v>
      </c>
      <c r="B22" s="47">
        <v>7.5</v>
      </c>
      <c r="C22" s="18" t="s">
        <v>927</v>
      </c>
      <c r="D22" s="18" t="s">
        <v>760</v>
      </c>
      <c r="E22" s="18" t="s">
        <v>928</v>
      </c>
    </row>
    <row r="23" spans="1:5" ht="23" x14ac:dyDescent="0.35">
      <c r="A23" s="18" t="s">
        <v>929</v>
      </c>
      <c r="B23" s="47">
        <v>7.7</v>
      </c>
      <c r="C23" s="18" t="s">
        <v>927</v>
      </c>
      <c r="D23" s="18" t="s">
        <v>763</v>
      </c>
      <c r="E23" s="18" t="s">
        <v>928</v>
      </c>
    </row>
    <row r="24" spans="1:5" ht="23" x14ac:dyDescent="0.35">
      <c r="A24" s="18" t="s">
        <v>930</v>
      </c>
      <c r="B24" s="47">
        <v>8.5</v>
      </c>
      <c r="C24" s="18" t="s">
        <v>924</v>
      </c>
      <c r="D24" s="18" t="s">
        <v>754</v>
      </c>
      <c r="E24" s="18" t="s">
        <v>925</v>
      </c>
    </row>
    <row r="25" spans="1:5" ht="23" x14ac:dyDescent="0.35">
      <c r="A25" s="18" t="s">
        <v>735</v>
      </c>
      <c r="B25" s="47">
        <v>11.4</v>
      </c>
      <c r="C25" s="18" t="s">
        <v>927</v>
      </c>
      <c r="D25" s="18" t="s">
        <v>757</v>
      </c>
      <c r="E25" s="18" t="s">
        <v>928</v>
      </c>
    </row>
    <row r="26" spans="1:5" ht="23" x14ac:dyDescent="0.35">
      <c r="A26" s="4" t="s">
        <v>931</v>
      </c>
      <c r="B26" s="33">
        <v>16.12903225806452</v>
      </c>
      <c r="C26" s="4" t="s">
        <v>932</v>
      </c>
      <c r="D26" s="4" t="s">
        <v>769</v>
      </c>
      <c r="E26" s="4" t="s">
        <v>933</v>
      </c>
    </row>
    <row r="27" spans="1:5" ht="34.5" x14ac:dyDescent="0.35">
      <c r="A27" s="18" t="s">
        <v>721</v>
      </c>
      <c r="B27" s="47">
        <v>29.3</v>
      </c>
      <c r="C27" s="18" t="s">
        <v>934</v>
      </c>
      <c r="D27" s="18" t="s">
        <v>720</v>
      </c>
      <c r="E27" s="18" t="s">
        <v>935</v>
      </c>
    </row>
    <row r="28" spans="1:5" ht="46" x14ac:dyDescent="0.35">
      <c r="A28" s="18" t="s">
        <v>936</v>
      </c>
      <c r="B28" s="47">
        <v>40.4</v>
      </c>
      <c r="C28" s="18" t="s">
        <v>927</v>
      </c>
      <c r="D28" s="18" t="s">
        <v>766</v>
      </c>
      <c r="E28" s="18" t="s">
        <v>937</v>
      </c>
    </row>
  </sheetData>
  <autoFilter ref="A20:E28" xr:uid="{00000000-0009-0000-0000-000010000000}"/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I59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0" customWidth="1"/>
    <col min="2" max="2" width="34" customWidth="1"/>
    <col min="3" max="4" width="18" customWidth="1"/>
    <col min="5" max="5" width="12" customWidth="1"/>
    <col min="6" max="6" width="20" customWidth="1"/>
    <col min="7" max="7" width="28" customWidth="1"/>
    <col min="8" max="8" width="42" customWidth="1"/>
    <col min="9" max="9" width="16" customWidth="1"/>
  </cols>
  <sheetData>
    <row r="1" spans="1:9" ht="25" x14ac:dyDescent="0.5">
      <c r="A1" s="1" t="s">
        <v>938</v>
      </c>
    </row>
    <row r="2" spans="1:9" x14ac:dyDescent="0.35">
      <c r="A2" s="2" t="s">
        <v>939</v>
      </c>
    </row>
    <row r="4" spans="1:9" ht="22" customHeight="1" x14ac:dyDescent="0.35">
      <c r="A4" s="3" t="s">
        <v>940</v>
      </c>
      <c r="B4" s="3" t="s">
        <v>524</v>
      </c>
      <c r="C4" s="3" t="s">
        <v>941</v>
      </c>
      <c r="D4" s="3" t="s">
        <v>942</v>
      </c>
      <c r="E4" s="3" t="s">
        <v>834</v>
      </c>
      <c r="F4" s="3" t="s">
        <v>594</v>
      </c>
      <c r="G4" s="3" t="s">
        <v>943</v>
      </c>
      <c r="H4" s="3" t="s">
        <v>944</v>
      </c>
      <c r="I4" s="3" t="s">
        <v>945</v>
      </c>
    </row>
    <row r="5" spans="1:9" x14ac:dyDescent="0.35">
      <c r="A5" s="19">
        <v>2</v>
      </c>
      <c r="B5" s="19" t="s">
        <v>614</v>
      </c>
      <c r="C5" s="19" t="s">
        <v>946</v>
      </c>
      <c r="D5" s="38">
        <v>20800</v>
      </c>
      <c r="E5" s="19" t="s">
        <v>835</v>
      </c>
      <c r="F5" s="19" t="s">
        <v>947</v>
      </c>
      <c r="G5" s="19" t="s">
        <v>769</v>
      </c>
      <c r="H5" s="19" t="s">
        <v>948</v>
      </c>
      <c r="I5" s="19" t="s">
        <v>949</v>
      </c>
    </row>
    <row r="6" spans="1:9" x14ac:dyDescent="0.35">
      <c r="A6" s="19">
        <v>2</v>
      </c>
      <c r="B6" s="19" t="s">
        <v>932</v>
      </c>
      <c r="C6" s="19" t="s">
        <v>950</v>
      </c>
      <c r="D6" s="19">
        <v>16.12903225806452</v>
      </c>
      <c r="E6" s="19" t="s">
        <v>877</v>
      </c>
      <c r="F6" s="19" t="s">
        <v>947</v>
      </c>
      <c r="G6" s="19" t="s">
        <v>769</v>
      </c>
      <c r="H6" s="19" t="s">
        <v>951</v>
      </c>
      <c r="I6" s="19" t="s">
        <v>949</v>
      </c>
    </row>
    <row r="7" spans="1:9" x14ac:dyDescent="0.35">
      <c r="A7" s="4">
        <v>2</v>
      </c>
      <c r="B7" s="4" t="s">
        <v>613</v>
      </c>
      <c r="C7" s="4" t="s">
        <v>952</v>
      </c>
      <c r="D7" s="11">
        <v>20000</v>
      </c>
      <c r="E7" s="4" t="s">
        <v>835</v>
      </c>
      <c r="F7" s="4" t="s">
        <v>679</v>
      </c>
      <c r="G7" s="4" t="s">
        <v>769</v>
      </c>
      <c r="H7" s="4" t="s">
        <v>953</v>
      </c>
      <c r="I7" s="4" t="s">
        <v>949</v>
      </c>
    </row>
    <row r="8" spans="1:9" x14ac:dyDescent="0.35">
      <c r="A8" s="4">
        <v>2</v>
      </c>
      <c r="B8" s="4" t="s">
        <v>611</v>
      </c>
      <c r="C8" s="4" t="s">
        <v>954</v>
      </c>
      <c r="D8" s="11">
        <v>800</v>
      </c>
      <c r="E8" s="4" t="s">
        <v>835</v>
      </c>
      <c r="F8" s="4" t="s">
        <v>679</v>
      </c>
      <c r="G8" s="4" t="s">
        <v>769</v>
      </c>
      <c r="H8" s="4" t="s">
        <v>955</v>
      </c>
      <c r="I8" s="4" t="s">
        <v>949</v>
      </c>
    </row>
    <row r="9" spans="1:9" x14ac:dyDescent="0.35">
      <c r="A9" s="19">
        <v>2</v>
      </c>
      <c r="B9" s="19" t="s">
        <v>615</v>
      </c>
      <c r="C9" s="19" t="s">
        <v>956</v>
      </c>
      <c r="D9" s="42">
        <v>3.8461538461538457E-2</v>
      </c>
      <c r="E9" s="19" t="s">
        <v>845</v>
      </c>
      <c r="F9" s="19" t="s">
        <v>947</v>
      </c>
      <c r="G9" s="19" t="s">
        <v>769</v>
      </c>
      <c r="H9" s="19" t="s">
        <v>957</v>
      </c>
      <c r="I9" s="19" t="s">
        <v>949</v>
      </c>
    </row>
    <row r="10" spans="1:9" x14ac:dyDescent="0.35">
      <c r="A10" s="4">
        <v>2</v>
      </c>
      <c r="B10" s="4" t="s">
        <v>612</v>
      </c>
      <c r="C10" s="4" t="s">
        <v>958</v>
      </c>
      <c r="D10" s="11">
        <v>200</v>
      </c>
      <c r="E10" s="4" t="s">
        <v>835</v>
      </c>
      <c r="F10" s="4" t="s">
        <v>679</v>
      </c>
      <c r="G10" s="4" t="s">
        <v>769</v>
      </c>
      <c r="H10" s="4" t="s">
        <v>959</v>
      </c>
      <c r="I10" s="4" t="s">
        <v>949</v>
      </c>
    </row>
    <row r="11" spans="1:9" x14ac:dyDescent="0.35">
      <c r="A11" s="19">
        <v>2</v>
      </c>
      <c r="B11" s="19" t="s">
        <v>616</v>
      </c>
      <c r="C11" s="19" t="s">
        <v>960</v>
      </c>
      <c r="D11" s="42">
        <v>4.807692307692308E-2</v>
      </c>
      <c r="E11" s="19" t="s">
        <v>845</v>
      </c>
      <c r="F11" s="19" t="s">
        <v>947</v>
      </c>
      <c r="G11" s="19" t="s">
        <v>769</v>
      </c>
      <c r="H11" s="19" t="s">
        <v>961</v>
      </c>
      <c r="I11" s="19" t="s">
        <v>949</v>
      </c>
    </row>
    <row r="12" spans="1:9" x14ac:dyDescent="0.35">
      <c r="A12" s="4">
        <v>2</v>
      </c>
      <c r="B12" s="4" t="s">
        <v>610</v>
      </c>
      <c r="C12" s="4" t="s">
        <v>962</v>
      </c>
      <c r="D12" s="11">
        <v>1000</v>
      </c>
      <c r="E12" s="4" t="s">
        <v>835</v>
      </c>
      <c r="F12" s="4" t="s">
        <v>679</v>
      </c>
      <c r="G12" s="4" t="s">
        <v>769</v>
      </c>
      <c r="H12" s="4" t="s">
        <v>963</v>
      </c>
      <c r="I12" s="4" t="s">
        <v>949</v>
      </c>
    </row>
    <row r="13" spans="1:9" x14ac:dyDescent="0.35">
      <c r="A13" s="4">
        <v>4</v>
      </c>
      <c r="B13" s="4" t="s">
        <v>964</v>
      </c>
      <c r="C13" s="4" t="s">
        <v>965</v>
      </c>
      <c r="D13" s="11">
        <v>650</v>
      </c>
      <c r="E13" s="4" t="s">
        <v>835</v>
      </c>
      <c r="F13" s="4" t="s">
        <v>679</v>
      </c>
      <c r="G13" s="4" t="s">
        <v>769</v>
      </c>
      <c r="H13" s="4" t="s">
        <v>966</v>
      </c>
      <c r="I13" s="4" t="s">
        <v>949</v>
      </c>
    </row>
    <row r="14" spans="1:9" x14ac:dyDescent="0.35">
      <c r="A14" s="4">
        <v>4</v>
      </c>
      <c r="B14" s="4" t="s">
        <v>967</v>
      </c>
      <c r="C14" s="4" t="s">
        <v>968</v>
      </c>
      <c r="D14" s="4">
        <v>190</v>
      </c>
      <c r="E14" s="4" t="s">
        <v>843</v>
      </c>
      <c r="F14" s="4" t="s">
        <v>679</v>
      </c>
      <c r="G14" s="4" t="s">
        <v>769</v>
      </c>
      <c r="H14" s="4" t="s">
        <v>969</v>
      </c>
      <c r="I14" s="4" t="s">
        <v>949</v>
      </c>
    </row>
    <row r="15" spans="1:9" x14ac:dyDescent="0.35">
      <c r="A15" s="4">
        <v>4</v>
      </c>
      <c r="B15" s="4" t="s">
        <v>842</v>
      </c>
      <c r="C15" s="4" t="s">
        <v>970</v>
      </c>
      <c r="D15" s="4">
        <v>1200</v>
      </c>
      <c r="E15" s="4" t="s">
        <v>843</v>
      </c>
      <c r="F15" s="4" t="s">
        <v>679</v>
      </c>
      <c r="G15" s="4" t="s">
        <v>769</v>
      </c>
      <c r="H15" s="4" t="s">
        <v>971</v>
      </c>
      <c r="I15" s="4" t="s">
        <v>949</v>
      </c>
    </row>
    <row r="16" spans="1:9" x14ac:dyDescent="0.35">
      <c r="A16" s="20">
        <v>4</v>
      </c>
      <c r="B16" s="20" t="s">
        <v>972</v>
      </c>
      <c r="C16" s="20" t="s">
        <v>962</v>
      </c>
      <c r="D16" s="44">
        <v>1000</v>
      </c>
      <c r="E16" s="20" t="s">
        <v>835</v>
      </c>
      <c r="F16" s="20" t="s">
        <v>973</v>
      </c>
      <c r="G16" s="20" t="s">
        <v>626</v>
      </c>
      <c r="H16" s="20" t="s">
        <v>974</v>
      </c>
      <c r="I16" s="20" t="s">
        <v>949</v>
      </c>
    </row>
    <row r="17" spans="1:9" x14ac:dyDescent="0.35">
      <c r="A17" s="18">
        <v>4</v>
      </c>
      <c r="B17" s="18" t="s">
        <v>975</v>
      </c>
      <c r="C17" s="18" t="s">
        <v>976</v>
      </c>
      <c r="D17" s="48">
        <v>0.85</v>
      </c>
      <c r="E17" s="18" t="s">
        <v>845</v>
      </c>
      <c r="F17" s="18" t="s">
        <v>629</v>
      </c>
      <c r="G17" s="18" t="s">
        <v>626</v>
      </c>
      <c r="H17" s="18" t="s">
        <v>977</v>
      </c>
      <c r="I17" s="18" t="s">
        <v>949</v>
      </c>
    </row>
    <row r="18" spans="1:9" x14ac:dyDescent="0.35">
      <c r="A18" s="18">
        <v>4</v>
      </c>
      <c r="B18" s="18" t="s">
        <v>838</v>
      </c>
      <c r="C18" s="18" t="s">
        <v>978</v>
      </c>
      <c r="D18" s="18">
        <v>50</v>
      </c>
      <c r="E18" s="18" t="s">
        <v>839</v>
      </c>
      <c r="F18" s="18" t="s">
        <v>629</v>
      </c>
      <c r="G18" s="18" t="s">
        <v>626</v>
      </c>
      <c r="H18" s="18" t="s">
        <v>979</v>
      </c>
      <c r="I18" s="18" t="s">
        <v>949</v>
      </c>
    </row>
    <row r="19" spans="1:9" x14ac:dyDescent="0.35">
      <c r="A19" s="18">
        <v>5</v>
      </c>
      <c r="B19" s="18" t="s">
        <v>838</v>
      </c>
      <c r="C19" s="18" t="s">
        <v>978</v>
      </c>
      <c r="D19" s="18">
        <v>50</v>
      </c>
      <c r="E19" s="18" t="s">
        <v>839</v>
      </c>
      <c r="F19" s="18" t="s">
        <v>629</v>
      </c>
      <c r="G19" s="18" t="s">
        <v>626</v>
      </c>
      <c r="H19" s="18" t="s">
        <v>979</v>
      </c>
      <c r="I19" s="18" t="s">
        <v>949</v>
      </c>
    </row>
    <row r="20" spans="1:9" x14ac:dyDescent="0.35">
      <c r="A20" s="4">
        <v>6</v>
      </c>
      <c r="B20" s="4" t="s">
        <v>980</v>
      </c>
      <c r="C20" s="4" t="s">
        <v>981</v>
      </c>
      <c r="D20" s="4">
        <v>1</v>
      </c>
      <c r="E20" s="4" t="s">
        <v>982</v>
      </c>
      <c r="F20" s="4" t="s">
        <v>679</v>
      </c>
      <c r="G20" s="4" t="s">
        <v>769</v>
      </c>
      <c r="H20" s="4" t="s">
        <v>983</v>
      </c>
      <c r="I20" s="4" t="s">
        <v>949</v>
      </c>
    </row>
    <row r="21" spans="1:9" x14ac:dyDescent="0.35">
      <c r="A21" s="4">
        <v>6</v>
      </c>
      <c r="B21" s="4" t="s">
        <v>984</v>
      </c>
      <c r="C21" s="4" t="s">
        <v>985</v>
      </c>
      <c r="D21" s="4">
        <v>12</v>
      </c>
      <c r="E21" s="4" t="s">
        <v>843</v>
      </c>
      <c r="F21" s="4" t="s">
        <v>679</v>
      </c>
      <c r="G21" s="4" t="s">
        <v>769</v>
      </c>
      <c r="H21" s="4" t="s">
        <v>986</v>
      </c>
      <c r="I21" s="4" t="s">
        <v>949</v>
      </c>
    </row>
    <row r="22" spans="1:9" x14ac:dyDescent="0.35">
      <c r="A22" s="4">
        <v>6</v>
      </c>
      <c r="B22" s="4" t="s">
        <v>987</v>
      </c>
      <c r="C22" s="4" t="s">
        <v>988</v>
      </c>
      <c r="D22" s="4">
        <v>12</v>
      </c>
      <c r="E22" s="4" t="s">
        <v>989</v>
      </c>
      <c r="F22" s="4" t="s">
        <v>679</v>
      </c>
      <c r="G22" s="4" t="s">
        <v>769</v>
      </c>
      <c r="H22" s="4" t="s">
        <v>990</v>
      </c>
      <c r="I22" s="4" t="s">
        <v>949</v>
      </c>
    </row>
    <row r="23" spans="1:9" x14ac:dyDescent="0.35">
      <c r="A23" s="4">
        <v>6</v>
      </c>
      <c r="B23" s="4" t="s">
        <v>991</v>
      </c>
      <c r="C23" s="4" t="s">
        <v>992</v>
      </c>
      <c r="D23" s="4">
        <v>6</v>
      </c>
      <c r="E23" s="4" t="s">
        <v>843</v>
      </c>
      <c r="F23" s="4" t="s">
        <v>679</v>
      </c>
      <c r="G23" s="4" t="s">
        <v>769</v>
      </c>
      <c r="H23" s="4" t="s">
        <v>993</v>
      </c>
      <c r="I23" s="4" t="s">
        <v>949</v>
      </c>
    </row>
    <row r="24" spans="1:9" x14ac:dyDescent="0.35">
      <c r="A24" s="18">
        <v>8</v>
      </c>
      <c r="B24" s="18" t="s">
        <v>994</v>
      </c>
      <c r="C24" s="18" t="s">
        <v>995</v>
      </c>
      <c r="D24" s="18">
        <v>10</v>
      </c>
      <c r="E24" s="18" t="s">
        <v>877</v>
      </c>
      <c r="F24" s="18" t="s">
        <v>629</v>
      </c>
      <c r="G24" s="18" t="s">
        <v>635</v>
      </c>
      <c r="H24" s="18" t="s">
        <v>996</v>
      </c>
      <c r="I24" s="18" t="s">
        <v>949</v>
      </c>
    </row>
    <row r="25" spans="1:9" x14ac:dyDescent="0.35">
      <c r="A25" s="18">
        <v>9</v>
      </c>
      <c r="B25" s="18" t="s">
        <v>997</v>
      </c>
      <c r="C25" s="18" t="s">
        <v>998</v>
      </c>
      <c r="D25" s="18">
        <v>4</v>
      </c>
      <c r="E25" s="18" t="s">
        <v>877</v>
      </c>
      <c r="F25" s="18" t="s">
        <v>629</v>
      </c>
      <c r="G25" s="18" t="s">
        <v>641</v>
      </c>
      <c r="H25" s="18" t="s">
        <v>999</v>
      </c>
      <c r="I25" s="18" t="s">
        <v>949</v>
      </c>
    </row>
    <row r="26" spans="1:9" x14ac:dyDescent="0.35">
      <c r="A26" s="19">
        <v>11</v>
      </c>
      <c r="B26" s="19" t="s">
        <v>1000</v>
      </c>
      <c r="C26" s="19" t="s">
        <v>1001</v>
      </c>
      <c r="D26" s="42">
        <v>2.1000000000000001E-2</v>
      </c>
      <c r="E26" s="19" t="s">
        <v>845</v>
      </c>
      <c r="F26" s="19" t="s">
        <v>947</v>
      </c>
      <c r="G26" s="19" t="s">
        <v>769</v>
      </c>
      <c r="H26" s="19"/>
      <c r="I26" s="19" t="s">
        <v>1002</v>
      </c>
    </row>
    <row r="27" spans="1:9" x14ac:dyDescent="0.35">
      <c r="A27" s="19">
        <v>11</v>
      </c>
      <c r="B27" s="19" t="s">
        <v>1003</v>
      </c>
      <c r="C27" s="19" t="s">
        <v>1004</v>
      </c>
      <c r="D27" s="38">
        <v>90000</v>
      </c>
      <c r="E27" s="19" t="s">
        <v>835</v>
      </c>
      <c r="F27" s="19" t="s">
        <v>947</v>
      </c>
      <c r="G27" s="19" t="s">
        <v>769</v>
      </c>
      <c r="H27" s="19" t="s">
        <v>1005</v>
      </c>
      <c r="I27" s="19" t="s">
        <v>949</v>
      </c>
    </row>
    <row r="28" spans="1:9" x14ac:dyDescent="0.35">
      <c r="A28" s="19">
        <v>11</v>
      </c>
      <c r="B28" s="19" t="s">
        <v>1006</v>
      </c>
      <c r="C28" s="19" t="s">
        <v>1007</v>
      </c>
      <c r="D28" s="38">
        <v>250000</v>
      </c>
      <c r="E28" s="19" t="s">
        <v>835</v>
      </c>
      <c r="F28" s="19" t="s">
        <v>947</v>
      </c>
      <c r="G28" s="19" t="s">
        <v>769</v>
      </c>
      <c r="H28" s="19" t="s">
        <v>1008</v>
      </c>
      <c r="I28" s="19" t="s">
        <v>949</v>
      </c>
    </row>
    <row r="29" spans="1:9" x14ac:dyDescent="0.35">
      <c r="A29" s="4">
        <v>15</v>
      </c>
      <c r="B29" s="4" t="s">
        <v>964</v>
      </c>
      <c r="C29" s="4" t="s">
        <v>965</v>
      </c>
      <c r="D29" s="11">
        <v>650</v>
      </c>
      <c r="E29" s="4" t="s">
        <v>835</v>
      </c>
      <c r="F29" s="4" t="s">
        <v>679</v>
      </c>
      <c r="G29" s="4" t="s">
        <v>769</v>
      </c>
      <c r="H29" s="4" t="s">
        <v>966</v>
      </c>
      <c r="I29" s="4" t="s">
        <v>949</v>
      </c>
    </row>
    <row r="30" spans="1:9" x14ac:dyDescent="0.35">
      <c r="A30" s="4">
        <v>15</v>
      </c>
      <c r="B30" s="4" t="s">
        <v>1009</v>
      </c>
      <c r="C30" s="4" t="s">
        <v>1010</v>
      </c>
      <c r="D30" s="11">
        <v>293</v>
      </c>
      <c r="E30" s="4" t="s">
        <v>835</v>
      </c>
      <c r="F30" s="4" t="s">
        <v>679</v>
      </c>
      <c r="G30" s="4" t="s">
        <v>769</v>
      </c>
      <c r="H30" s="4" t="s">
        <v>1011</v>
      </c>
      <c r="I30" s="4" t="s">
        <v>949</v>
      </c>
    </row>
    <row r="31" spans="1:9" x14ac:dyDescent="0.35">
      <c r="A31" s="4">
        <v>15</v>
      </c>
      <c r="B31" s="4" t="s">
        <v>1012</v>
      </c>
      <c r="C31" s="4" t="s">
        <v>1013</v>
      </c>
      <c r="D31" s="11">
        <v>278</v>
      </c>
      <c r="E31" s="4" t="s">
        <v>835</v>
      </c>
      <c r="F31" s="4" t="s">
        <v>679</v>
      </c>
      <c r="G31" s="4" t="s">
        <v>769</v>
      </c>
      <c r="H31" s="4" t="s">
        <v>1014</v>
      </c>
      <c r="I31" s="4" t="s">
        <v>949</v>
      </c>
    </row>
    <row r="32" spans="1:9" x14ac:dyDescent="0.35">
      <c r="A32" s="4">
        <v>15</v>
      </c>
      <c r="B32" s="4" t="s">
        <v>1015</v>
      </c>
      <c r="C32" s="4" t="s">
        <v>1016</v>
      </c>
      <c r="D32" s="10">
        <v>0.30857142857142861</v>
      </c>
      <c r="E32" s="4" t="s">
        <v>845</v>
      </c>
      <c r="F32" s="4" t="s">
        <v>679</v>
      </c>
      <c r="G32" s="4" t="s">
        <v>769</v>
      </c>
      <c r="H32" s="4" t="s">
        <v>1017</v>
      </c>
      <c r="I32" s="4" t="s">
        <v>949</v>
      </c>
    </row>
    <row r="33" spans="1:9" x14ac:dyDescent="0.35">
      <c r="A33" s="19">
        <v>16</v>
      </c>
      <c r="B33" s="19" t="s">
        <v>1018</v>
      </c>
      <c r="C33" s="19" t="s">
        <v>1019</v>
      </c>
      <c r="D33" s="42">
        <v>0.5186202593862439</v>
      </c>
      <c r="E33" s="19" t="s">
        <v>845</v>
      </c>
      <c r="F33" s="19" t="s">
        <v>947</v>
      </c>
      <c r="G33" s="19" t="s">
        <v>769</v>
      </c>
      <c r="H33" s="19"/>
      <c r="I33" s="19" t="s">
        <v>1002</v>
      </c>
    </row>
    <row r="34" spans="1:9" x14ac:dyDescent="0.35">
      <c r="A34" s="19">
        <v>16</v>
      </c>
      <c r="B34" s="19" t="s">
        <v>1020</v>
      </c>
      <c r="C34" s="19" t="s">
        <v>1021</v>
      </c>
      <c r="D34" s="42">
        <v>0.77142857142857146</v>
      </c>
      <c r="E34" s="19" t="s">
        <v>845</v>
      </c>
      <c r="F34" s="19" t="s">
        <v>947</v>
      </c>
      <c r="G34" s="19" t="s">
        <v>769</v>
      </c>
      <c r="H34" s="19"/>
      <c r="I34" s="19" t="s">
        <v>1002</v>
      </c>
    </row>
    <row r="35" spans="1:9" x14ac:dyDescent="0.35">
      <c r="A35" s="4">
        <v>16</v>
      </c>
      <c r="B35" s="4" t="s">
        <v>1022</v>
      </c>
      <c r="C35" s="4" t="s">
        <v>1023</v>
      </c>
      <c r="D35" s="10">
        <v>0.76</v>
      </c>
      <c r="E35" s="4" t="s">
        <v>845</v>
      </c>
      <c r="F35" s="4" t="s">
        <v>679</v>
      </c>
      <c r="G35" s="4" t="s">
        <v>769</v>
      </c>
      <c r="H35" s="4" t="s">
        <v>1024</v>
      </c>
      <c r="I35" s="4" t="s">
        <v>949</v>
      </c>
    </row>
    <row r="36" spans="1:9" x14ac:dyDescent="0.35">
      <c r="A36" s="4">
        <v>16</v>
      </c>
      <c r="B36" s="4" t="s">
        <v>1025</v>
      </c>
      <c r="C36" s="4" t="s">
        <v>1019</v>
      </c>
      <c r="D36" s="10">
        <v>0.52</v>
      </c>
      <c r="E36" s="4" t="s">
        <v>845</v>
      </c>
      <c r="F36" s="4" t="s">
        <v>679</v>
      </c>
      <c r="G36" s="4" t="s">
        <v>769</v>
      </c>
      <c r="H36" s="4" t="s">
        <v>1026</v>
      </c>
      <c r="I36" s="4" t="s">
        <v>949</v>
      </c>
    </row>
    <row r="37" spans="1:9" x14ac:dyDescent="0.35">
      <c r="A37" s="4">
        <v>16</v>
      </c>
      <c r="B37" s="4" t="s">
        <v>1027</v>
      </c>
      <c r="C37" s="4" t="s">
        <v>1028</v>
      </c>
      <c r="D37" s="11">
        <v>5250</v>
      </c>
      <c r="E37" s="4" t="s">
        <v>835</v>
      </c>
      <c r="F37" s="4" t="s">
        <v>679</v>
      </c>
      <c r="G37" s="4" t="s">
        <v>769</v>
      </c>
      <c r="H37" s="4" t="s">
        <v>1029</v>
      </c>
      <c r="I37" s="4" t="s">
        <v>949</v>
      </c>
    </row>
    <row r="38" spans="1:9" x14ac:dyDescent="0.35">
      <c r="A38" s="4">
        <v>17</v>
      </c>
      <c r="B38" s="4" t="s">
        <v>846</v>
      </c>
      <c r="C38" s="4" t="s">
        <v>1030</v>
      </c>
      <c r="D38" s="10">
        <v>0.92</v>
      </c>
      <c r="E38" s="4" t="s">
        <v>845</v>
      </c>
      <c r="F38" s="4" t="s">
        <v>679</v>
      </c>
      <c r="G38" s="4" t="s">
        <v>769</v>
      </c>
      <c r="H38" s="4" t="s">
        <v>1031</v>
      </c>
      <c r="I38" s="4" t="s">
        <v>949</v>
      </c>
    </row>
    <row r="39" spans="1:9" x14ac:dyDescent="0.35">
      <c r="A39" s="4">
        <v>17</v>
      </c>
      <c r="B39" s="4" t="s">
        <v>847</v>
      </c>
      <c r="C39" s="4" t="s">
        <v>1032</v>
      </c>
      <c r="D39" s="10">
        <v>1.38</v>
      </c>
      <c r="E39" s="4" t="s">
        <v>845</v>
      </c>
      <c r="F39" s="4" t="s">
        <v>679</v>
      </c>
      <c r="G39" s="4" t="s">
        <v>769</v>
      </c>
      <c r="H39" s="4" t="s">
        <v>1033</v>
      </c>
      <c r="I39" s="4" t="s">
        <v>949</v>
      </c>
    </row>
    <row r="40" spans="1:9" x14ac:dyDescent="0.35">
      <c r="A40" s="4">
        <v>18</v>
      </c>
      <c r="B40" s="4" t="s">
        <v>1034</v>
      </c>
      <c r="C40" s="4" t="s">
        <v>1035</v>
      </c>
      <c r="D40" s="10">
        <v>0.46</v>
      </c>
      <c r="E40" s="4" t="s">
        <v>845</v>
      </c>
      <c r="F40" s="4" t="s">
        <v>679</v>
      </c>
      <c r="G40" s="4" t="s">
        <v>769</v>
      </c>
      <c r="H40" s="4" t="s">
        <v>1036</v>
      </c>
      <c r="I40" s="4" t="s">
        <v>949</v>
      </c>
    </row>
    <row r="41" spans="1:9" x14ac:dyDescent="0.35">
      <c r="A41" s="4">
        <v>18</v>
      </c>
      <c r="B41" s="4" t="s">
        <v>1037</v>
      </c>
      <c r="C41" s="4" t="s">
        <v>1038</v>
      </c>
      <c r="D41" s="4">
        <v>14</v>
      </c>
      <c r="E41" s="4" t="s">
        <v>885</v>
      </c>
      <c r="F41" s="4" t="s">
        <v>679</v>
      </c>
      <c r="G41" s="4" t="s">
        <v>769</v>
      </c>
      <c r="H41" s="4" t="s">
        <v>1039</v>
      </c>
      <c r="I41" s="4" t="s">
        <v>949</v>
      </c>
    </row>
    <row r="42" spans="1:9" x14ac:dyDescent="0.35">
      <c r="A42" s="4">
        <v>18</v>
      </c>
      <c r="B42" s="4" t="s">
        <v>868</v>
      </c>
      <c r="C42" s="4" t="s">
        <v>1040</v>
      </c>
      <c r="D42" s="4">
        <v>4.2</v>
      </c>
      <c r="E42" s="4" t="s">
        <v>877</v>
      </c>
      <c r="F42" s="4" t="s">
        <v>679</v>
      </c>
      <c r="G42" s="4" t="s">
        <v>769</v>
      </c>
      <c r="H42" s="4" t="s">
        <v>1041</v>
      </c>
      <c r="I42" s="4" t="s">
        <v>949</v>
      </c>
    </row>
    <row r="43" spans="1:9" x14ac:dyDescent="0.35">
      <c r="A43" s="4">
        <v>18</v>
      </c>
      <c r="B43" s="4" t="s">
        <v>1042</v>
      </c>
      <c r="C43" s="4" t="s">
        <v>1043</v>
      </c>
      <c r="D43" s="4">
        <v>6</v>
      </c>
      <c r="E43" s="4" t="s">
        <v>885</v>
      </c>
      <c r="F43" s="4" t="s">
        <v>679</v>
      </c>
      <c r="G43" s="4" t="s">
        <v>769</v>
      </c>
      <c r="H43" s="4" t="s">
        <v>1044</v>
      </c>
      <c r="I43" s="4" t="s">
        <v>949</v>
      </c>
    </row>
    <row r="44" spans="1:9" x14ac:dyDescent="0.35">
      <c r="A44" s="4">
        <v>19</v>
      </c>
      <c r="B44" s="4" t="s">
        <v>1012</v>
      </c>
      <c r="C44" s="4" t="s">
        <v>1013</v>
      </c>
      <c r="D44" s="11">
        <v>278</v>
      </c>
      <c r="E44" s="4" t="s">
        <v>835</v>
      </c>
      <c r="F44" s="4" t="s">
        <v>679</v>
      </c>
      <c r="G44" s="4" t="s">
        <v>769</v>
      </c>
      <c r="H44" s="4" t="s">
        <v>1014</v>
      </c>
      <c r="I44" s="4" t="s">
        <v>949</v>
      </c>
    </row>
    <row r="45" spans="1:9" x14ac:dyDescent="0.35">
      <c r="A45" s="4">
        <v>20</v>
      </c>
      <c r="B45" s="4" t="s">
        <v>340</v>
      </c>
      <c r="C45" s="4" t="s">
        <v>1045</v>
      </c>
      <c r="D45" s="11">
        <v>160</v>
      </c>
      <c r="E45" s="4" t="s">
        <v>835</v>
      </c>
      <c r="F45" s="4" t="s">
        <v>679</v>
      </c>
      <c r="G45" s="4" t="s">
        <v>769</v>
      </c>
      <c r="H45" s="4" t="s">
        <v>1046</v>
      </c>
      <c r="I45" s="4" t="s">
        <v>949</v>
      </c>
    </row>
    <row r="46" spans="1:9" x14ac:dyDescent="0.35">
      <c r="A46" s="4">
        <v>20</v>
      </c>
      <c r="B46" s="4" t="s">
        <v>370</v>
      </c>
      <c r="C46" s="4" t="s">
        <v>1047</v>
      </c>
      <c r="D46" s="11">
        <v>40</v>
      </c>
      <c r="E46" s="4" t="s">
        <v>835</v>
      </c>
      <c r="F46" s="4" t="s">
        <v>679</v>
      </c>
      <c r="G46" s="4" t="s">
        <v>769</v>
      </c>
      <c r="H46" s="4" t="s">
        <v>1048</v>
      </c>
      <c r="I46" s="4" t="s">
        <v>949</v>
      </c>
    </row>
    <row r="47" spans="1:9" x14ac:dyDescent="0.35">
      <c r="A47" s="4">
        <v>20</v>
      </c>
      <c r="B47" s="4" t="s">
        <v>354</v>
      </c>
      <c r="C47" s="4" t="s">
        <v>1049</v>
      </c>
      <c r="D47" s="11">
        <v>120</v>
      </c>
      <c r="E47" s="4" t="s">
        <v>835</v>
      </c>
      <c r="F47" s="4" t="s">
        <v>679</v>
      </c>
      <c r="G47" s="4" t="s">
        <v>769</v>
      </c>
      <c r="H47" s="4" t="s">
        <v>1050</v>
      </c>
      <c r="I47" s="4" t="s">
        <v>949</v>
      </c>
    </row>
    <row r="48" spans="1:9" x14ac:dyDescent="0.35">
      <c r="A48" s="4">
        <v>20</v>
      </c>
      <c r="B48" s="4" t="s">
        <v>333</v>
      </c>
      <c r="C48" s="4" t="s">
        <v>1051</v>
      </c>
      <c r="D48" s="11">
        <v>220</v>
      </c>
      <c r="E48" s="4" t="s">
        <v>835</v>
      </c>
      <c r="F48" s="4" t="s">
        <v>679</v>
      </c>
      <c r="G48" s="4" t="s">
        <v>769</v>
      </c>
      <c r="H48" s="4" t="s">
        <v>1052</v>
      </c>
      <c r="I48" s="4" t="s">
        <v>949</v>
      </c>
    </row>
    <row r="49" spans="1:9" x14ac:dyDescent="0.35">
      <c r="A49" s="4">
        <v>20</v>
      </c>
      <c r="B49" s="4" t="s">
        <v>1053</v>
      </c>
      <c r="C49" s="4" t="s">
        <v>954</v>
      </c>
      <c r="D49" s="11">
        <v>800</v>
      </c>
      <c r="E49" s="4" t="s">
        <v>835</v>
      </c>
      <c r="F49" s="4" t="s">
        <v>679</v>
      </c>
      <c r="G49" s="4" t="s">
        <v>769</v>
      </c>
      <c r="H49" s="4" t="s">
        <v>955</v>
      </c>
      <c r="I49" s="4" t="s">
        <v>949</v>
      </c>
    </row>
    <row r="50" spans="1:9" x14ac:dyDescent="0.35">
      <c r="A50" s="4">
        <v>20</v>
      </c>
      <c r="B50" s="4" t="s">
        <v>362</v>
      </c>
      <c r="C50" s="4" t="s">
        <v>1049</v>
      </c>
      <c r="D50" s="11">
        <v>120</v>
      </c>
      <c r="E50" s="4" t="s">
        <v>835</v>
      </c>
      <c r="F50" s="4" t="s">
        <v>679</v>
      </c>
      <c r="G50" s="4" t="s">
        <v>769</v>
      </c>
      <c r="H50" s="4" t="s">
        <v>1054</v>
      </c>
      <c r="I50" s="4" t="s">
        <v>949</v>
      </c>
    </row>
    <row r="51" spans="1:9" x14ac:dyDescent="0.35">
      <c r="A51" s="4">
        <v>20</v>
      </c>
      <c r="B51" s="4" t="s">
        <v>347</v>
      </c>
      <c r="C51" s="4" t="s">
        <v>1055</v>
      </c>
      <c r="D51" s="11">
        <v>140</v>
      </c>
      <c r="E51" s="4" t="s">
        <v>835</v>
      </c>
      <c r="F51" s="4" t="s">
        <v>679</v>
      </c>
      <c r="G51" s="4" t="s">
        <v>769</v>
      </c>
      <c r="H51" s="4" t="s">
        <v>1056</v>
      </c>
      <c r="I51" s="4" t="s">
        <v>949</v>
      </c>
    </row>
    <row r="52" spans="1:9" x14ac:dyDescent="0.35">
      <c r="A52" s="4">
        <v>21</v>
      </c>
      <c r="B52" s="4" t="s">
        <v>553</v>
      </c>
      <c r="C52" s="4" t="s">
        <v>1057</v>
      </c>
      <c r="D52" s="11">
        <v>273.60000000000002</v>
      </c>
      <c r="E52" s="4" t="s">
        <v>835</v>
      </c>
      <c r="F52" s="4" t="s">
        <v>679</v>
      </c>
      <c r="G52" s="4" t="s">
        <v>769</v>
      </c>
      <c r="H52" s="4" t="s">
        <v>1058</v>
      </c>
      <c r="I52" s="4" t="s">
        <v>949</v>
      </c>
    </row>
    <row r="53" spans="1:9" x14ac:dyDescent="0.35">
      <c r="A53" s="19">
        <v>21</v>
      </c>
      <c r="B53" s="19" t="s">
        <v>559</v>
      </c>
      <c r="C53" s="19" t="s">
        <v>475</v>
      </c>
      <c r="D53" s="49">
        <v>46356</v>
      </c>
      <c r="E53" s="19" t="s">
        <v>1059</v>
      </c>
      <c r="F53" s="19" t="s">
        <v>947</v>
      </c>
      <c r="G53" s="19" t="s">
        <v>769</v>
      </c>
      <c r="H53" s="19" t="s">
        <v>1060</v>
      </c>
      <c r="I53" s="19" t="s">
        <v>949</v>
      </c>
    </row>
    <row r="54" spans="1:9" x14ac:dyDescent="0.35">
      <c r="A54" s="19">
        <v>21</v>
      </c>
      <c r="B54" s="19" t="s">
        <v>1061</v>
      </c>
      <c r="C54" s="19" t="s">
        <v>1062</v>
      </c>
      <c r="D54" s="38">
        <v>902.20900000000029</v>
      </c>
      <c r="E54" s="19" t="s">
        <v>835</v>
      </c>
      <c r="F54" s="19" t="s">
        <v>947</v>
      </c>
      <c r="G54" s="19" t="s">
        <v>769</v>
      </c>
      <c r="H54" s="19" t="s">
        <v>1063</v>
      </c>
      <c r="I54" s="19" t="s">
        <v>949</v>
      </c>
    </row>
    <row r="55" spans="1:9" ht="23" x14ac:dyDescent="0.35">
      <c r="A55" s="19">
        <v>21</v>
      </c>
      <c r="B55" s="19" t="s">
        <v>1064</v>
      </c>
      <c r="C55" s="19" t="s">
        <v>1065</v>
      </c>
      <c r="D55" s="19" t="s">
        <v>564</v>
      </c>
      <c r="E55" s="19" t="s">
        <v>1066</v>
      </c>
      <c r="F55" s="19" t="s">
        <v>947</v>
      </c>
      <c r="G55" s="19" t="s">
        <v>769</v>
      </c>
      <c r="H55" s="19" t="s">
        <v>1067</v>
      </c>
      <c r="I55" s="19" t="s">
        <v>949</v>
      </c>
    </row>
    <row r="56" spans="1:9" x14ac:dyDescent="0.35">
      <c r="A56" s="4">
        <v>21</v>
      </c>
      <c r="B56" s="4" t="s">
        <v>560</v>
      </c>
      <c r="C56" s="4" t="s">
        <v>1068</v>
      </c>
      <c r="D56" s="50">
        <v>47756</v>
      </c>
      <c r="E56" s="4" t="s">
        <v>1059</v>
      </c>
      <c r="F56" s="4" t="s">
        <v>679</v>
      </c>
      <c r="G56" s="4" t="s">
        <v>769</v>
      </c>
      <c r="H56" s="4" t="s">
        <v>1069</v>
      </c>
      <c r="I56" s="4" t="s">
        <v>949</v>
      </c>
    </row>
    <row r="57" spans="1:9" x14ac:dyDescent="0.35">
      <c r="A57" s="4">
        <v>21</v>
      </c>
      <c r="B57" s="4" t="s">
        <v>555</v>
      </c>
      <c r="C57" s="4" t="s">
        <v>1070</v>
      </c>
      <c r="D57" s="11">
        <v>250</v>
      </c>
      <c r="E57" s="4" t="s">
        <v>835</v>
      </c>
      <c r="F57" s="4" t="s">
        <v>679</v>
      </c>
      <c r="G57" s="4" t="s">
        <v>769</v>
      </c>
      <c r="H57" s="4" t="s">
        <v>1071</v>
      </c>
      <c r="I57" s="4" t="s">
        <v>949</v>
      </c>
    </row>
    <row r="58" spans="1:9" x14ac:dyDescent="0.35">
      <c r="A58" s="19">
        <v>21</v>
      </c>
      <c r="B58" s="19" t="s">
        <v>557</v>
      </c>
      <c r="C58" s="19" t="s">
        <v>1072</v>
      </c>
      <c r="D58" s="38">
        <v>770</v>
      </c>
      <c r="E58" s="19" t="s">
        <v>835</v>
      </c>
      <c r="F58" s="19" t="s">
        <v>947</v>
      </c>
      <c r="G58" s="19" t="s">
        <v>769</v>
      </c>
      <c r="H58" s="19" t="s">
        <v>1073</v>
      </c>
      <c r="I58" s="19" t="s">
        <v>949</v>
      </c>
    </row>
    <row r="59" spans="1:9" x14ac:dyDescent="0.35">
      <c r="A59" s="4">
        <v>24</v>
      </c>
      <c r="B59" s="4" t="s">
        <v>1027</v>
      </c>
      <c r="C59" s="4" t="s">
        <v>1028</v>
      </c>
      <c r="D59" s="11">
        <v>5250</v>
      </c>
      <c r="E59" s="4" t="s">
        <v>835</v>
      </c>
      <c r="F59" s="4" t="s">
        <v>679</v>
      </c>
      <c r="G59" s="4" t="s">
        <v>769</v>
      </c>
      <c r="H59" s="4" t="s">
        <v>1029</v>
      </c>
      <c r="I59" s="4" t="s">
        <v>949</v>
      </c>
    </row>
  </sheetData>
  <autoFilter ref="A4:I59" xr:uid="{00000000-0009-0000-0000-000011000000}"/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D15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46" customWidth="1"/>
    <col min="2" max="2" width="22" customWidth="1"/>
    <col min="3" max="3" width="24" customWidth="1"/>
    <col min="4" max="4" width="14" customWidth="1"/>
  </cols>
  <sheetData>
    <row r="1" spans="1:4" ht="25" x14ac:dyDescent="0.5">
      <c r="A1" s="1" t="s">
        <v>1074</v>
      </c>
    </row>
    <row r="2" spans="1:4" x14ac:dyDescent="0.35">
      <c r="A2" s="2" t="s">
        <v>1075</v>
      </c>
    </row>
    <row r="4" spans="1:4" ht="22" customHeight="1" x14ac:dyDescent="0.35">
      <c r="A4" s="3" t="s">
        <v>1076</v>
      </c>
      <c r="B4" s="3" t="s">
        <v>1077</v>
      </c>
      <c r="C4" s="3" t="s">
        <v>1078</v>
      </c>
      <c r="D4" s="3" t="s">
        <v>945</v>
      </c>
    </row>
    <row r="5" spans="1:4" x14ac:dyDescent="0.35">
      <c r="A5" s="20" t="s">
        <v>1079</v>
      </c>
      <c r="B5" s="20">
        <v>1000</v>
      </c>
      <c r="C5" s="20">
        <v>1000</v>
      </c>
      <c r="D5" s="20" t="s">
        <v>1080</v>
      </c>
    </row>
    <row r="6" spans="1:4" x14ac:dyDescent="0.35">
      <c r="A6" s="20" t="s">
        <v>614</v>
      </c>
      <c r="B6" s="20">
        <v>20800</v>
      </c>
      <c r="C6" s="20">
        <v>20800</v>
      </c>
      <c r="D6" s="20" t="s">
        <v>1080</v>
      </c>
    </row>
    <row r="7" spans="1:4" x14ac:dyDescent="0.35">
      <c r="A7" s="20" t="s">
        <v>1081</v>
      </c>
      <c r="B7" s="20">
        <v>800</v>
      </c>
      <c r="C7" s="20">
        <v>800</v>
      </c>
      <c r="D7" s="20" t="s">
        <v>1080</v>
      </c>
    </row>
    <row r="8" spans="1:4" x14ac:dyDescent="0.35">
      <c r="A8" s="20" t="s">
        <v>1082</v>
      </c>
      <c r="B8" s="20">
        <v>250000</v>
      </c>
      <c r="C8" s="20">
        <v>250000</v>
      </c>
      <c r="D8" s="20" t="s">
        <v>1080</v>
      </c>
    </row>
    <row r="9" spans="1:4" x14ac:dyDescent="0.35">
      <c r="A9" s="20" t="s">
        <v>1083</v>
      </c>
      <c r="B9" s="20">
        <v>35</v>
      </c>
      <c r="C9" s="20">
        <v>35</v>
      </c>
      <c r="D9" s="20" t="s">
        <v>1080</v>
      </c>
    </row>
    <row r="10" spans="1:4" x14ac:dyDescent="0.35">
      <c r="A10" s="20" t="s">
        <v>1084</v>
      </c>
      <c r="B10" s="20">
        <v>3412.5</v>
      </c>
      <c r="C10" s="20">
        <v>7349.9999999999991</v>
      </c>
      <c r="D10" s="20" t="s">
        <v>1080</v>
      </c>
    </row>
    <row r="11" spans="1:4" x14ac:dyDescent="0.35">
      <c r="A11" s="20" t="s">
        <v>1085</v>
      </c>
      <c r="B11" s="20">
        <v>278</v>
      </c>
      <c r="C11" s="20">
        <v>0</v>
      </c>
      <c r="D11" s="20" t="s">
        <v>1080</v>
      </c>
    </row>
    <row r="12" spans="1:4" x14ac:dyDescent="0.35">
      <c r="A12" s="20" t="s">
        <v>1086</v>
      </c>
      <c r="B12" s="20">
        <v>800</v>
      </c>
      <c r="C12" s="20">
        <v>800</v>
      </c>
      <c r="D12" s="20" t="s">
        <v>1080</v>
      </c>
    </row>
    <row r="13" spans="1:4" x14ac:dyDescent="0.35">
      <c r="A13" s="20" t="s">
        <v>1087</v>
      </c>
      <c r="B13" s="51">
        <v>46356</v>
      </c>
      <c r="C13" s="51">
        <v>46356</v>
      </c>
      <c r="D13" s="20" t="s">
        <v>1080</v>
      </c>
    </row>
    <row r="14" spans="1:4" x14ac:dyDescent="0.35">
      <c r="A14" s="20" t="s">
        <v>1088</v>
      </c>
      <c r="B14" s="20">
        <v>252.26666666666671</v>
      </c>
      <c r="C14" s="20">
        <v>250</v>
      </c>
      <c r="D14" s="20" t="s">
        <v>1080</v>
      </c>
    </row>
    <row r="15" spans="1:4" x14ac:dyDescent="0.35">
      <c r="A15" s="20" t="s">
        <v>1089</v>
      </c>
      <c r="B15" s="20">
        <v>252.26666666666671</v>
      </c>
      <c r="C15" s="20">
        <v>250</v>
      </c>
      <c r="D15" s="20" t="s">
        <v>1080</v>
      </c>
    </row>
  </sheetData>
  <autoFilter ref="A4:D15" xr:uid="{00000000-0009-0000-0000-000012000000}"/>
  <conditionalFormatting sqref="D5:D15">
    <cfRule type="cellIs" dxfId="0" priority="1" operator="equal">
      <formula>"FAIL"</formula>
    </cfRule>
  </conditionalFormatting>
  <pageMargins left="0.75" right="0.75" top="1" bottom="1" header="0.5" footer="0.5"/>
  <pageSetup fitToHeight="0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Assumptions</vt:lpstr>
      <vt:lpstr>Visuals</vt:lpstr>
      <vt:lpstr>P&amp;L</vt:lpstr>
      <vt:lpstr>Cash Flow</vt:lpstr>
      <vt:lpstr>Balance Sheet</vt:lpstr>
      <vt:lpstr>Read Me</vt:lpstr>
      <vt:lpstr>Source Register</vt:lpstr>
      <vt:lpstr>Public Facts</vt:lpstr>
      <vt:lpstr>Historical KPIs</vt:lpstr>
      <vt:lpstr>Revenue Build</vt:lpstr>
      <vt:lpstr>Cohorts &amp; Retention</vt:lpstr>
      <vt:lpstr>Unit Economics</vt:lpstr>
      <vt:lpstr>GTM &amp; Pipeline</vt:lpstr>
      <vt:lpstr>Market Model</vt:lpstr>
      <vt:lpstr>Scenarios</vt:lpstr>
      <vt:lpstr>Use of Proceeds</vt:lpstr>
      <vt:lpstr>Valuation</vt:lpstr>
      <vt:lpstr>Slide Reconciliation</vt:lpstr>
      <vt:lpstr>QA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Replit Series E Sourcebook</dc:title>
  <dc:subject>Illustrative investor underwriting model</dc:subject>
  <dc:creator>Replit Series E materials generator</dc:creator>
  <cp:lastModifiedBy>Joe Ingraham</cp:lastModifiedBy>
  <dcterms:created xsi:type="dcterms:W3CDTF">2026-09-04T16:06:35Z</dcterms:created>
  <dcterms:modified xsi:type="dcterms:W3CDTF">2026-09-04T16:07:44Z</dcterms:modified>
</cp:coreProperties>
</file>